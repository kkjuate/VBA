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3.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10.72.4.18\it\HelpDesk\Diego\MacroIT\"/>
    </mc:Choice>
  </mc:AlternateContent>
  <xr:revisionPtr revIDLastSave="0" documentId="13_ncr:1_{B48E6512-5DFD-4553-BE3B-678B2989903D}" xr6:coauthVersionLast="47" xr6:coauthVersionMax="47" xr10:uidLastSave="{00000000-0000-0000-0000-000000000000}"/>
  <bookViews>
    <workbookView xWindow="57480" yWindow="-120" windowWidth="29040" windowHeight="15840" tabRatio="603" activeTab="1" xr2:uid="{00000000-000D-0000-FFFF-FFFF00000000}"/>
  </bookViews>
  <sheets>
    <sheet name="DASHBOARD" sheetId="1" r:id="rId1"/>
    <sheet name="TRACKER" sheetId="2" r:id="rId2"/>
    <sheet name="PIVOT" sheetId="3" r:id="rId3"/>
    <sheet name="DATA" sheetId="4" r:id="rId4"/>
    <sheet name="Routes" sheetId="5" state="veryHidden" r:id="rId5"/>
    <sheet name="FORMULAS" sheetId="6" r:id="rId6"/>
    <sheet name="Sheet1" sheetId="7" state="hidden" r:id="rId7"/>
  </sheets>
  <functionGroups builtInGroupCount="19"/>
  <externalReferences>
    <externalReference r:id="rId8"/>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513</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3" hidden="1">DATA!$A$1:$P$92</definedName>
    <definedName name="_xlnm._FilterDatabase" localSheetId="1" hidden="1">TRACKER!$A$1:$W$1</definedName>
    <definedName name="Pal_Workbook_GUID" hidden="1">"NFJXUPSZQ8Q1IBRB1QPKCIWK"</definedName>
    <definedName name="PRODAT_TenureAT">[1]Config!#REF!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Z_5D34E837_02BC_48BE_83FB_ACBC50171292_.wvu.Cols" localSheetId="0" hidden="1">DASHBOARD!$AA:$XFD</definedName>
    <definedName name="Z_5D34E837_02BC_48BE_83FB_ACBC50171292_.wvu.FilterData" localSheetId="3" hidden="1">DATA!$A$1:$P$92</definedName>
    <definedName name="Z_5D34E837_02BC_48BE_83FB_ACBC50171292_.wvu.FilterData" localSheetId="1" hidden="1">TRACKER!$A$1:$U$1</definedName>
    <definedName name="Z_5D34E837_02BC_48BE_83FB_ACBC50171292_.wvu.Rows" localSheetId="0" hidden="1">DASHBOARD!$36:$1048576,DASHBOARD!$33:$35</definedName>
  </definedNames>
  <calcPr calcId="191029"/>
  <customWorkbookViews>
    <customWorkbookView name="Rodolfo Arnoldo Aviles Granados - Personal View" guid="{5D34E837-02BC-48BE-83FB-ACBC50171292}" mergeInterval="0" personalView="1" maximized="1" xWindow="1358" yWindow="-8" windowWidth="1382" windowHeight="744" tabRatio="603" activeSheetId="1"/>
  </customWorkbookViews>
  <pivotCaches>
    <pivotCache cacheId="325" r:id="rId9"/>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6" i="2" l="1"/>
  <c r="M15" i="2"/>
  <c r="M14" i="2"/>
  <c r="M13" i="2"/>
  <c r="M12" i="2"/>
  <c r="M11" i="2"/>
  <c r="M10" i="2"/>
  <c r="M9" i="2"/>
  <c r="M8" i="2"/>
  <c r="M7" i="2"/>
  <c r="M6" i="2"/>
  <c r="M5" i="2"/>
  <c r="M4" i="2"/>
  <c r="M3" i="2"/>
  <c r="M2" i="2" l="1"/>
  <c r="L2" i="4"/>
  <c r="L3" i="4" l="1"/>
  <c r="L5" i="4" l="1"/>
  <c r="M8" i="4" l="1"/>
  <c r="M7" i="4"/>
  <c r="N22" i="4"/>
  <c r="N13" i="4"/>
  <c r="M23" i="4"/>
  <c r="M5" i="4"/>
  <c r="N15" i="4"/>
  <c r="N25" i="4"/>
  <c r="N18" i="4"/>
  <c r="M28" i="4"/>
  <c r="N27" i="4"/>
  <c r="N10" i="4"/>
  <c r="N20" i="4"/>
  <c r="N31" i="4"/>
  <c r="M31" i="4"/>
  <c r="N30" i="4"/>
  <c r="M30" i="4"/>
  <c r="N29" i="4"/>
  <c r="M29" i="4"/>
  <c r="N26" i="4"/>
  <c r="M26" i="4"/>
  <c r="N24" i="4"/>
  <c r="M24" i="4"/>
  <c r="N21" i="4"/>
  <c r="M21" i="4"/>
  <c r="N19" i="4"/>
  <c r="M19" i="4"/>
  <c r="N17" i="4"/>
  <c r="M17" i="4"/>
  <c r="N16" i="4"/>
  <c r="M16" i="4"/>
  <c r="M15" i="4"/>
  <c r="N14" i="4"/>
  <c r="M14" i="4"/>
  <c r="N12" i="4"/>
  <c r="M12" i="4"/>
  <c r="N11" i="4"/>
  <c r="M11" i="4"/>
  <c r="N9" i="4"/>
  <c r="M9" i="4"/>
  <c r="M6" i="4"/>
  <c r="N6" i="4" s="1"/>
  <c r="M4" i="4"/>
  <c r="N4" i="4" s="1"/>
  <c r="M3" i="4"/>
  <c r="N3" i="4" s="1"/>
  <c r="M13" i="4" l="1"/>
  <c r="N7" i="4"/>
  <c r="M22" i="4"/>
  <c r="M20" i="4"/>
  <c r="N8" i="4"/>
  <c r="M18" i="4"/>
  <c r="N23" i="4"/>
  <c r="M2" i="4"/>
  <c r="N2" i="4" s="1"/>
  <c r="N5" i="4"/>
  <c r="M27" i="4"/>
  <c r="M10" i="4"/>
  <c r="M25" i="4"/>
  <c r="N28" i="4"/>
  <c r="P31" i="4"/>
  <c r="E31" i="4"/>
  <c r="P30" i="4"/>
  <c r="E30" i="4"/>
  <c r="P29" i="4"/>
  <c r="E29" i="4"/>
  <c r="P28" i="4"/>
  <c r="E28" i="4"/>
  <c r="P27" i="4"/>
  <c r="E27" i="4"/>
  <c r="P26" i="4"/>
  <c r="E26" i="4"/>
  <c r="P25" i="4"/>
  <c r="E25" i="4"/>
  <c r="P24" i="4"/>
  <c r="E24" i="4"/>
  <c r="P23" i="4"/>
  <c r="E23" i="4"/>
  <c r="P22" i="4"/>
  <c r="E22" i="4"/>
  <c r="P21" i="4"/>
  <c r="E21" i="4"/>
  <c r="P20" i="4"/>
  <c r="E20" i="4"/>
  <c r="P19" i="4"/>
  <c r="E19" i="4"/>
  <c r="P18" i="4"/>
  <c r="E18" i="4"/>
  <c r="P17" i="4"/>
  <c r="E17" i="4"/>
  <c r="P16" i="4"/>
  <c r="E16" i="4"/>
  <c r="P15" i="4"/>
  <c r="E15" i="4"/>
  <c r="P14" i="4"/>
  <c r="E14" i="4"/>
  <c r="P13" i="4"/>
  <c r="E13" i="4"/>
  <c r="P12" i="4"/>
  <c r="E12" i="4"/>
  <c r="P11" i="4"/>
  <c r="E11" i="4"/>
  <c r="P10" i="4"/>
  <c r="E10" i="4"/>
  <c r="P9" i="4"/>
  <c r="E9" i="4"/>
  <c r="P8" i="4"/>
  <c r="E8" i="4"/>
  <c r="P7" i="4"/>
  <c r="E7" i="4"/>
  <c r="P6" i="4"/>
  <c r="E6" i="4"/>
  <c r="P5" i="4"/>
  <c r="E5" i="4"/>
  <c r="P4" i="4"/>
  <c r="E4" i="4"/>
  <c r="P3" i="4"/>
  <c r="E3" i="4"/>
  <c r="P2" i="4"/>
  <c r="E2" i="4"/>
</calcChain>
</file>

<file path=xl/sharedStrings.xml><?xml version="1.0" encoding="utf-8"?>
<sst xmlns="http://schemas.openxmlformats.org/spreadsheetml/2006/main" count="790" uniqueCount="288">
  <si>
    <t>Quarter</t>
  </si>
  <si>
    <t>Month</t>
  </si>
  <si>
    <t>Support process</t>
  </si>
  <si>
    <t>Goal</t>
  </si>
  <si>
    <t>Type</t>
  </si>
  <si>
    <t>Frequency</t>
  </si>
  <si>
    <t>Value Type</t>
  </si>
  <si>
    <t>Good is</t>
  </si>
  <si>
    <t>Metric</t>
  </si>
  <si>
    <t>Target</t>
  </si>
  <si>
    <t>Actual Score</t>
  </si>
  <si>
    <t>Attainment</t>
  </si>
  <si>
    <t>Status</t>
  </si>
  <si>
    <t>Group</t>
  </si>
  <si>
    <t>Focus</t>
  </si>
  <si>
    <t>Average of Attainment</t>
  </si>
  <si>
    <t>Last 3 months</t>
  </si>
  <si>
    <t>IT</t>
  </si>
  <si>
    <t>G2</t>
  </si>
  <si>
    <t>Critical</t>
  </si>
  <si>
    <t>Monthly</t>
  </si>
  <si>
    <t>Time Based - Hours</t>
  </si>
  <si>
    <t>Mean time to repair</t>
  </si>
  <si>
    <t>G1</t>
  </si>
  <si>
    <t>Non Critical</t>
  </si>
  <si>
    <t>Percentage</t>
  </si>
  <si>
    <t>Priority 2. 3 &amp; 4 Incidents</t>
  </si>
  <si>
    <t>SLA – Severity 1 (Highest Priority)</t>
  </si>
  <si>
    <t>Ttickets Completion (On Time Resolution)</t>
  </si>
  <si>
    <t>Uptime (IT Infrastructure)</t>
  </si>
  <si>
    <t>Created Date &amp; Time</t>
  </si>
  <si>
    <t>Entered By</t>
  </si>
  <si>
    <t>Issue</t>
  </si>
  <si>
    <t>Issue
Category</t>
  </si>
  <si>
    <t>Impact</t>
  </si>
  <si>
    <t>LOB</t>
  </si>
  <si>
    <t>Ownership</t>
  </si>
  <si>
    <t>Users / Agents Affected</t>
  </si>
  <si>
    <t>Severity Level</t>
  </si>
  <si>
    <t>Issue
Description</t>
  </si>
  <si>
    <t>Impact
Summary</t>
  </si>
  <si>
    <t>Final Resolution
&amp; Rationale</t>
  </si>
  <si>
    <t>Action
Steps</t>
  </si>
  <si>
    <t>Data transfer</t>
  </si>
  <si>
    <t xml:space="preserve">Servers </t>
  </si>
  <si>
    <t>Requirements</t>
  </si>
  <si>
    <t xml:space="preserve">Unlock NT users </t>
  </si>
  <si>
    <t>Incident</t>
  </si>
  <si>
    <t>Hardware to Repair</t>
  </si>
  <si>
    <t xml:space="preserve">Support </t>
  </si>
  <si>
    <t xml:space="preserve">Disable NT users </t>
  </si>
  <si>
    <t xml:space="preserve">Network Health </t>
  </si>
  <si>
    <t xml:space="preserve">Network </t>
  </si>
  <si>
    <t xml:space="preserve">Network Monitoring </t>
  </si>
  <si>
    <t>Software to Repair</t>
  </si>
  <si>
    <t xml:space="preserve">NT Users Creation </t>
  </si>
  <si>
    <t>The agent cannot develop his/her work if doesn't have access to the system.</t>
  </si>
  <si>
    <t>The person cannot develop his work without the computer.</t>
  </si>
  <si>
    <t>Due to security reasons, all the persons that are no longer working with us need to be disable.</t>
  </si>
  <si>
    <t>The production floor can't be without connection to the system because they won't be able to perform their job.</t>
  </si>
  <si>
    <t>Production floor stoped their activities because the citrix connection was interrupted</t>
  </si>
  <si>
    <t>The agents cannot develop his/her work if doesn't have access to the share folder.</t>
  </si>
  <si>
    <t>The assistan Manager cannot develop his job without the property tools</t>
  </si>
  <si>
    <t>The team leader cannot follow the performance of her agents if the audio is not working propertly</t>
  </si>
  <si>
    <t>We proceed to unlock the NT user with the Active Directory keeping the same password.</t>
  </si>
  <si>
    <t>We went to the production floor and checked the computer</t>
  </si>
  <si>
    <t>Disable all the users named by the HR person at the email.</t>
  </si>
  <si>
    <t>We send the Network health status report as soon as possible to discard any possible issue on our end.</t>
  </si>
  <si>
    <t>We escalated with Tigo Provider because the connection was slow due an increase on the connections times.</t>
  </si>
  <si>
    <t>We're heading to the job to solve the problem</t>
  </si>
  <si>
    <t>We fill the correct format and start the process to creat the new user.</t>
  </si>
  <si>
    <t>Access the AD and make the changes in the named user.</t>
  </si>
  <si>
    <t>We did a basic troubleshooting.</t>
  </si>
  <si>
    <t>Access the AD and find each user to be disabled it.</t>
  </si>
  <si>
    <t>Access to the solar winds and get all the information needed to complete the report.</t>
  </si>
  <si>
    <t>Scalated the case with our ISP for they can fix the connection.</t>
  </si>
  <si>
    <t>We accessed the system and started to rule out the faults</t>
  </si>
  <si>
    <t>Access the AD and create the new user name.</t>
  </si>
  <si>
    <t>Updated the audio driver.</t>
  </si>
  <si>
    <t>P9DD00031</t>
  </si>
  <si>
    <t>Jara</t>
  </si>
  <si>
    <t>Category</t>
  </si>
  <si>
    <t>Start Date &amp; Time
COL -5 GMT</t>
  </si>
  <si>
    <t>End Date &amp; Time
COL -5 GMT</t>
  </si>
  <si>
    <t>Duration</t>
  </si>
  <si>
    <t>Went to the production floor and checked the machine to do the configurations</t>
  </si>
  <si>
    <t>Solved SLA</t>
  </si>
  <si>
    <t>A1AT03658</t>
  </si>
  <si>
    <t>Mario Loaisiga</t>
  </si>
  <si>
    <t>A1AT03653</t>
  </si>
  <si>
    <t>Rodolfo Aviles</t>
  </si>
  <si>
    <t>HBC</t>
  </si>
  <si>
    <t>Peripherals</t>
  </si>
  <si>
    <t>Restart Computers</t>
  </si>
  <si>
    <t>Go Health</t>
  </si>
  <si>
    <t>User forgot bitlocker pass</t>
  </si>
  <si>
    <t>Provide bitlocker pass</t>
  </si>
  <si>
    <t>Access to Bitlocker document</t>
  </si>
  <si>
    <t>Direct Energy</t>
  </si>
  <si>
    <t>Agent input credentials but they were not valid.</t>
  </si>
  <si>
    <t>Reset password in AD</t>
  </si>
  <si>
    <t>Open the AD users and computers and reset user password</t>
  </si>
  <si>
    <t>A1AT03661</t>
  </si>
  <si>
    <t>NIC</t>
  </si>
  <si>
    <t>A1AT03660</t>
  </si>
  <si>
    <t>Ovilio Huerta</t>
  </si>
  <si>
    <t>Unlock/Reset NT User</t>
  </si>
  <si>
    <t>IT-BOG</t>
  </si>
  <si>
    <t>Bogatit014</t>
  </si>
  <si>
    <t>CINCH</t>
  </si>
  <si>
    <t>The agent states that he has audio failures with the usb device that was delivered with a new headse</t>
  </si>
  <si>
    <t>We proceed configurations and port enablement are performed on cpu</t>
  </si>
  <si>
    <t>Best Buy</t>
  </si>
  <si>
    <t>We proceed to update the version of the application</t>
  </si>
  <si>
    <t xml:space="preserve">Link DUO </t>
  </si>
  <si>
    <t>The activation link request is sent to the responsible area</t>
  </si>
  <si>
    <t xml:space="preserve">No icons in desktop </t>
  </si>
  <si>
    <t>The agent went back from home and on the site no icons</t>
  </si>
  <si>
    <t xml:space="preserve">We go to the active diectory and changes to the OU </t>
  </si>
  <si>
    <t xml:space="preserve">We go to the active diet and the changes to the organizational unit, and sing in , sing out </t>
  </si>
  <si>
    <t xml:space="preserve">Audio Issues </t>
  </si>
  <si>
    <t xml:space="preserve">The agent present audio isuues with the customers </t>
  </si>
  <si>
    <t>Workspaces audio and update support and configuration</t>
  </si>
  <si>
    <t>The corresponding audio settings are made and the application is updated</t>
  </si>
  <si>
    <t>TL Cristian Martinez indicates that the mouse that was delivered does not work</t>
  </si>
  <si>
    <t xml:space="preserve">Request to chage USB port for mouse conecction </t>
  </si>
  <si>
    <t>Contact is generated with the agent who responds after 10 minutes and Internet speed tests are run</t>
  </si>
  <si>
    <t>The agent is instructed to request support from her ISP</t>
  </si>
  <si>
    <t>The corresponding tests are carried out and the agent reports that she has 50M of internet contracted and has a speed of 7M.</t>
  </si>
  <si>
    <t>The agent cannot enter with their user credentials blocked</t>
  </si>
  <si>
    <t>Password reset and login from vpn to take changes</t>
  </si>
  <si>
    <t>The agent has a fault on one of his monitors</t>
  </si>
  <si>
    <t>The agent is asked to verify and adjust the VGA connection cables and this solves it</t>
  </si>
  <si>
    <t>Link DUO</t>
  </si>
  <si>
    <t>The agent cannot enter their credentials because the DUO</t>
  </si>
  <si>
    <t>DUO link is requested to helpdeskpei</t>
  </si>
  <si>
    <t>The agent can not enter their credentials and requests support for VPN connection</t>
  </si>
  <si>
    <t>The Link DUO is requested to be sent, and the agent is guided to connect to the vpn</t>
  </si>
  <si>
    <t>Network</t>
  </si>
  <si>
    <t>The agent connects to vpn and disconnects the internet</t>
  </si>
  <si>
    <t>Computer restart is rooted, the modem is restarted, the host file is verified, it is verified and entered by proxy</t>
  </si>
  <si>
    <t>Certificates</t>
  </si>
  <si>
    <t>The VPC requests entrance certificates from eccgatewaybestbuy</t>
  </si>
  <si>
    <t>The pc is restarted repeatedly to load the certificates already shared by policies, finally the certificates are installed manually from a local user</t>
  </si>
  <si>
    <t>Access to VPN</t>
  </si>
  <si>
    <t>The agent cannot connect to VPN</t>
  </si>
  <si>
    <t>VPN change is made and configuration verified, the agent is guided in connection</t>
  </si>
  <si>
    <t>Agent cannot login with their credentials and requests support for vpn connection</t>
  </si>
  <si>
    <t>Agent has audio issues with Jabra</t>
  </si>
  <si>
    <t>Settings and USB port change apply</t>
  </si>
  <si>
    <t>VPN</t>
  </si>
  <si>
    <t>Agent cannot connect to vpn</t>
  </si>
  <si>
    <t>Request to connect to vpnbog1.accedotech.com</t>
  </si>
  <si>
    <t>The agent cannot connect to the vpn because it uses an ip address</t>
  </si>
  <si>
    <t>Se solicita conectar a vpnbog1.accedotech.com</t>
  </si>
  <si>
    <t>Request to connect to vpnbog1.accedotech.com and no response from agent</t>
  </si>
  <si>
    <t>The Agent cannot connect to vpn because ips assignment error occurs in router</t>
  </si>
  <si>
    <t>NAT reported error and connection to vpnbog1.accedotech.com</t>
  </si>
  <si>
    <t>Agent reports stable connectivity failures with vpn and does not recognize jabber</t>
  </si>
  <si>
    <t>Sound tests are done with the jabra, connectivity tests are carried out, it is asked to restart the PC and the router repeatedly, the drivers are verified, the uninstallation of Cisco client is done and this works</t>
  </si>
  <si>
    <t>The agent reports issues with the jabber</t>
  </si>
  <si>
    <t>The installed software is verified and a repair is made in the software</t>
  </si>
  <si>
    <t>The Agent cannot access VPC error "cannot access this page"</t>
  </si>
  <si>
    <t>The host file is verified, network tests are performed and the proxy is confirmed, in the same way it is guided for vpn connection</t>
  </si>
  <si>
    <t>The agent indicates that he cannot see an image on one of the screens</t>
  </si>
  <si>
    <t>Credentials</t>
  </si>
  <si>
    <t>Agent cannot log in with their credentials</t>
  </si>
  <si>
    <t>The profile is deleted and all the confirmation is reloaded from vpn, the closing and logging in is applied repeatedly to load the policies, in the same way the agent is guided to connect to vpn</t>
  </si>
  <si>
    <t>The computer is restarted and proxy confirmation is performed</t>
  </si>
  <si>
    <t>The Agent cannot enter citrix, error "cannot reach this page"</t>
  </si>
  <si>
    <t>The computer is restarted and proxy confirmation is performed, the agent is instructed to perform tests and responds 10 minutes later.</t>
  </si>
  <si>
    <t>The agent fails to connect the vpn</t>
  </si>
  <si>
    <t>Connection tests are carried out and it is not possible to connect to the anydesk connection verifications are made and finally a fault is found with the ISP ETB</t>
  </si>
  <si>
    <t>Failure occurs in the PC operating system, request repair</t>
  </si>
  <si>
    <t>The agent is guided to achieve a system repair but does not start on the pc, it is determined to change the pc and it is delivered to facilities</t>
  </si>
  <si>
    <t>The agent has resolution failures on one of its screens and cannot connect to the vpn</t>
  </si>
  <si>
    <t>Connections are verified, display controller update, PC restart repeatedly, configurations are made and the inversion of cables is requested, in the same way it is guided for the respective connection in vpn</t>
  </si>
  <si>
    <t>The agent presents audio failures with the jabber</t>
  </si>
  <si>
    <t>Audio confirmations are verified and adjusted, drivers are validated, and audio tests are performed</t>
  </si>
  <si>
    <t>The agent can not log in by mistake "loggin failed"</t>
  </si>
  <si>
    <t>Reset passsword and unlock user</t>
  </si>
  <si>
    <t>The agent can not enter citrix error "can not reach this page"</t>
  </si>
  <si>
    <t>Proxy confirmation is carried out, network tests are carried out inside and outside the vpn, there are some errors in your internet service that do not allow anydeskm to be entered, the network cable is verified and the PC is repeatedly restarted</t>
  </si>
  <si>
    <t>Audio confirmations are verified and adjusted, drivers are validated, and audio tests are performed and restart PC is repeatedly</t>
  </si>
  <si>
    <t>The agent reports that the jabra headset is not recognized by the pc</t>
  </si>
  <si>
    <t>Ports of the cpu are verified, the port change is requested repeatedly, bios is entered to verify the enabled ports and drivers are updated</t>
  </si>
  <si>
    <t>The agent reports that he cannot extend the screens within citrix</t>
  </si>
  <si>
    <t>Screen drivers and their settings are validated in Windows and the agent is guided to make this work</t>
  </si>
  <si>
    <t>Agent cannot detect as it has an error Cannot reach this page</t>
  </si>
  <si>
    <t>Proxy confirmation is verified, host file, modem and pc restart is applied</t>
  </si>
  <si>
    <t>The agent has connection failures, the cpu does not recognize the network cable</t>
  </si>
  <si>
    <t>Network tests are performed with other devices, computer restart is applied repeatedly, and the CPU change is determined</t>
  </si>
  <si>
    <t>The agent has failures to enter with their credentials through the DUO link</t>
  </si>
  <si>
    <t>The DUO link is requested to be sent to the Helpdesk Pei</t>
  </si>
  <si>
    <t>Agent cannot login with their credentials</t>
  </si>
  <si>
    <t>A reset password is performed and the agent is guided in a vpn connection</t>
  </si>
  <si>
    <t>BOGATIT013</t>
  </si>
  <si>
    <t>Column Labels</t>
  </si>
  <si>
    <t>Row Labels</t>
  </si>
  <si>
    <t>Grand Total</t>
  </si>
  <si>
    <t>BOG</t>
  </si>
  <si>
    <t>Resolution</t>
  </si>
  <si>
    <t>Restart Jabber</t>
  </si>
  <si>
    <t>BOGATIT027</t>
  </si>
  <si>
    <t>DF</t>
  </si>
  <si>
    <t>SDF</t>
  </si>
  <si>
    <t>ASFDS</t>
  </si>
  <si>
    <t>Bogatit027</t>
  </si>
  <si>
    <t>Citrix</t>
  </si>
  <si>
    <t>HTA</t>
  </si>
  <si>
    <t>Jabber</t>
  </si>
  <si>
    <t>VPN Client</t>
  </si>
  <si>
    <t>Reinstall VPN</t>
  </si>
  <si>
    <t>INCIDENT</t>
  </si>
  <si>
    <t>Unlock</t>
  </si>
  <si>
    <t>LUMEN</t>
  </si>
  <si>
    <t>UN</t>
  </si>
  <si>
    <t>ASD</t>
  </si>
  <si>
    <t>DASD</t>
  </si>
  <si>
    <t>BS</t>
  </si>
  <si>
    <t>DA</t>
  </si>
  <si>
    <t>CHOICE</t>
  </si>
  <si>
    <t>CITRIX</t>
  </si>
  <si>
    <t>SAPO</t>
  </si>
  <si>
    <t>ADS</t>
  </si>
  <si>
    <t>NT User</t>
  </si>
  <si>
    <t>Sub Category</t>
  </si>
  <si>
    <t>BOGATIT034</t>
  </si>
  <si>
    <t>BP9ATBBY1202</t>
  </si>
  <si>
    <t>MPLS</t>
  </si>
  <si>
    <t>maldito diego</t>
  </si>
  <si>
    <t>BP9ATBBY1478</t>
  </si>
  <si>
    <t>unlci</t>
  </si>
  <si>
    <t>IT-BOG-027211231000</t>
  </si>
  <si>
    <t>BP9ATBBY</t>
  </si>
  <si>
    <t>Production</t>
  </si>
  <si>
    <t>Closed</t>
  </si>
  <si>
    <t>VPN CLIENT</t>
  </si>
  <si>
    <t>Se entrega el tiempo de diagnostico o de solucion N1 o de conexion a la maquina. Se Finaliza una vez el correo de escalacion a operaciones sea enviado</t>
  </si>
  <si>
    <t>IT-BOG-027220103000</t>
  </si>
  <si>
    <t>Bp9atbby1446</t>
  </si>
  <si>
    <t>BEST BUY</t>
  </si>
  <si>
    <t>CREDENTIALS</t>
  </si>
  <si>
    <t>NT-USER</t>
  </si>
  <si>
    <t>Unlock User</t>
  </si>
  <si>
    <t>IT-BOG-027220103001</t>
  </si>
  <si>
    <t>BP9ATBBY1180</t>
  </si>
  <si>
    <t>CITRIX DOWN</t>
  </si>
  <si>
    <t>Restart Citrix</t>
  </si>
  <si>
    <t>IT-BOG-027220103002</t>
  </si>
  <si>
    <t>Bp9atbby1330</t>
  </si>
  <si>
    <t>BREEZE</t>
  </si>
  <si>
    <t>Restart Breeze</t>
  </si>
  <si>
    <t>IT-BOG-027220103003</t>
  </si>
  <si>
    <t>BP9ATBBY1356</t>
  </si>
  <si>
    <t>JABBER</t>
  </si>
  <si>
    <t>Reinstall JVDI</t>
  </si>
  <si>
    <t>IT-BOG-027220103004</t>
  </si>
  <si>
    <t>Bp9bbyhta003</t>
  </si>
  <si>
    <t>ORANGE APP</t>
  </si>
  <si>
    <t>Reinstall PMT</t>
  </si>
  <si>
    <t>IT-BOG-027220103005</t>
  </si>
  <si>
    <t>BP9ATBBY1433</t>
  </si>
  <si>
    <t>Unlock user</t>
  </si>
  <si>
    <t>IT-BOG-027220103006</t>
  </si>
  <si>
    <t>BP9ATBBY1359</t>
  </si>
  <si>
    <t>SYMPHONY/USD</t>
  </si>
  <si>
    <t>Taskill</t>
  </si>
  <si>
    <t>IT-BOG-027220103007</t>
  </si>
  <si>
    <t>IT-BOG-027220103008</t>
  </si>
  <si>
    <t>IT-BOG-027220103009</t>
  </si>
  <si>
    <t>IT-BOG-027220103010</t>
  </si>
  <si>
    <t>IT-BOG-027220103011</t>
  </si>
  <si>
    <t>IT-BOG-027220103012</t>
  </si>
  <si>
    <t>BP9ATBBY1304</t>
  </si>
  <si>
    <t>BP9ATBBY1146</t>
  </si>
  <si>
    <t>BP9ATBBY1212</t>
  </si>
  <si>
    <t>PC</t>
  </si>
  <si>
    <t>HOST FILE</t>
  </si>
  <si>
    <t>Restart and configuration</t>
  </si>
  <si>
    <t>BP9ATBBY667</t>
  </si>
  <si>
    <t>OTHER</t>
  </si>
  <si>
    <t>bp9atbby1267</t>
  </si>
  <si>
    <t>BP9ATBBY1252</t>
  </si>
  <si>
    <t xml:space="preserve">CITRIX </t>
  </si>
  <si>
    <t>WFM</t>
  </si>
  <si>
    <t>IT-BOG-027220103013</t>
  </si>
  <si>
    <t>DRIVERS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</si>
</sst>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quot;HB&quot;;&quot;LB&quot;;&quot;NotRegistered&quot;"/>
    <numFmt numFmtId="165" formatCode="m/d/yy\ h:mm:ss;@"/>
    <numFmt numFmtId="166" formatCode="[h]:mm:ss;@"/>
    <numFmt numFmtId="167" formatCode="0\ &quot;H&quot;"/>
  </numFmts>
  <fonts count="18" x14ac:knownFonts="1">
    <font>
      <sz val="11"/>
      <color theme="1"/>
      <name val="Calibri"/>
      <family val="2"/>
      <scheme val="minor"/>
    </font>
    <font>
      <sz val="11"/>
      <color theme="1"/>
      <name val="Calibri"/>
      <family val="2"/>
      <scheme val="minor"/>
    </font>
    <font>
      <sz val="10"/>
      <color theme="1"/>
      <name val="Calibri"/>
      <family val="2"/>
      <scheme val="minor"/>
    </font>
    <font>
      <sz val="11"/>
      <name val="Calibri"/>
      <family val="2"/>
    </font>
    <font>
      <sz val="11"/>
      <color theme="0" tint="-0.34998626667073579"/>
      <name val="Calibri"/>
      <family val="2"/>
      <scheme val="minor"/>
    </font>
    <font>
      <b/>
      <sz val="28"/>
      <color theme="1"/>
      <name val="Calibri"/>
      <family val="2"/>
      <scheme val="minor"/>
    </font>
    <font>
      <b/>
      <sz val="20"/>
      <color theme="1"/>
      <name val="Calibri"/>
      <family val="2"/>
      <scheme val="minor"/>
    </font>
    <font>
      <sz val="11"/>
      <color theme="0"/>
      <name val="Calibri"/>
      <family val="2"/>
      <scheme val="minor"/>
    </font>
    <font>
      <b/>
      <sz val="12"/>
      <color theme="1"/>
      <name val="Calibri"/>
      <family val="2"/>
      <scheme val="minor"/>
    </font>
    <font>
      <b/>
      <sz val="8"/>
      <color rgb="FFFFFFFF"/>
      <name val="Arial"/>
      <family val="2"/>
    </font>
    <font>
      <sz val="8"/>
      <color theme="1"/>
      <name val="Arial"/>
      <family val="2"/>
    </font>
    <font>
      <sz val="8"/>
      <color rgb="FF000000"/>
      <name val="Arial"/>
      <family val="2"/>
    </font>
    <font>
      <sz val="11"/>
      <name val="Calibri"/>
      <family val="2"/>
      <scheme val="minor"/>
    </font>
    <font>
      <u/>
      <sz val="11"/>
      <color theme="1"/>
      <name val="Calibri"/>
      <family val="2"/>
      <scheme val="minor"/>
    </font>
    <font>
      <b/>
      <sz val="11"/>
      <color theme="1"/>
      <name val="Calibri"/>
      <family val="2"/>
      <scheme val="minor"/>
    </font>
    <font>
      <sz val="11"/>
      <color rgb="FF000000"/>
      <name val="Calibri"/>
      <family val="2"/>
      <scheme val="minor"/>
    </font>
    <font>
      <sz val="11"/>
      <color rgb="FF202124"/>
      <name val="Calibri"/>
      <family val="2"/>
      <scheme val="minor"/>
    </font>
    <font>
      <sz val="11"/>
      <color rgb="FF222222"/>
      <name val="Calibri"/>
      <family val="2"/>
      <scheme val="minor"/>
    </font>
  </fonts>
  <fills count="6">
    <fill>
      <patternFill patternType="none"/>
    </fill>
    <fill>
      <patternFill patternType="gray125"/>
    </fill>
    <fill>
      <patternFill patternType="solid">
        <fgColor rgb="FF97D1F1"/>
        <bgColor indexed="64"/>
      </patternFill>
    </fill>
    <fill>
      <patternFill patternType="solid">
        <fgColor theme="1" tint="0.249977111117893"/>
        <bgColor indexed="64"/>
      </patternFill>
    </fill>
    <fill>
      <patternFill patternType="solid">
        <fgColor rgb="FFF18720"/>
        <bgColor indexed="64"/>
      </patternFill>
    </fill>
    <fill>
      <patternFill patternType="solid">
        <fgColor theme="0" tint="-0.249977111117893"/>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s>
  <cellStyleXfs count="6">
    <xf numFmtId="0" fontId="0" fillId="0" borderId="0"/>
    <xf numFmtId="0" fontId="2" fillId="0" borderId="0"/>
    <xf numFmtId="0" fontId="1" fillId="0" borderId="0"/>
    <xf numFmtId="9" fontId="2" fillId="0" borderId="0" applyFont="0" applyFill="0" applyBorder="0" applyAlignment="0" applyProtection="0"/>
    <xf numFmtId="0" fontId="3" fillId="0" borderId="0"/>
    <xf numFmtId="9" fontId="1" fillId="0" borderId="0" applyFont="0" applyFill="0" applyBorder="0" applyAlignment="0" applyProtection="0"/>
  </cellStyleXfs>
  <cellXfs count="81">
    <xf numFmtId="0" fontId="0" fillId="0" borderId="0" xfId="0"/>
    <xf numFmtId="0" fontId="2" fillId="0" borderId="0" xfId="1"/>
    <xf numFmtId="0" fontId="0" fillId="0" borderId="0" xfId="0" pivotButton="1"/>
    <xf numFmtId="0" fontId="1" fillId="0" borderId="0" xfId="1" applyFont="1"/>
    <xf numFmtId="9" fontId="0" fillId="0" borderId="0" xfId="0" applyNumberFormat="1"/>
    <xf numFmtId="17" fontId="1" fillId="0" borderId="0" xfId="1" applyNumberFormat="1" applyFont="1"/>
    <xf numFmtId="0" fontId="0" fillId="2" borderId="0" xfId="0" applyFill="1"/>
    <xf numFmtId="0" fontId="1" fillId="0" borderId="0" xfId="1" applyFont="1" applyFill="1" applyAlignment="1">
      <alignment horizontal="center" vertical="center"/>
    </xf>
    <xf numFmtId="17" fontId="1" fillId="0" borderId="0" xfId="1" applyNumberFormat="1" applyFont="1" applyFill="1" applyAlignment="1">
      <alignment horizontal="center" vertical="center"/>
    </xf>
    <xf numFmtId="164" fontId="4" fillId="0" borderId="0" xfId="2" applyNumberFormat="1" applyFont="1" applyFill="1" applyAlignment="1">
      <alignment horizontal="center" vertical="center" wrapText="1"/>
    </xf>
    <xf numFmtId="10" fontId="1" fillId="0" borderId="0" xfId="3" applyNumberFormat="1" applyFont="1" applyFill="1" applyAlignment="1">
      <alignment horizontal="center" vertical="center"/>
    </xf>
    <xf numFmtId="0" fontId="0" fillId="0" borderId="0" xfId="1" applyFont="1" applyFill="1" applyAlignment="1">
      <alignment horizontal="center" vertical="center"/>
    </xf>
    <xf numFmtId="2" fontId="1" fillId="0" borderId="0" xfId="3" applyNumberFormat="1" applyFont="1" applyFill="1" applyAlignment="1">
      <alignment horizontal="center" vertical="center"/>
    </xf>
    <xf numFmtId="0" fontId="2" fillId="0" borderId="0" xfId="1" applyFill="1"/>
    <xf numFmtId="0" fontId="0" fillId="0" borderId="0" xfId="0" applyProtection="1">
      <protection locked="0"/>
    </xf>
    <xf numFmtId="0" fontId="1" fillId="0" borderId="0" xfId="1" applyFont="1" applyProtection="1">
      <protection locked="0"/>
    </xf>
    <xf numFmtId="0" fontId="0" fillId="0" borderId="0" xfId="0" applyFill="1"/>
    <xf numFmtId="17" fontId="0" fillId="0" borderId="0" xfId="0" applyNumberFormat="1" applyAlignment="1">
      <alignment horizontal="left"/>
    </xf>
    <xf numFmtId="0" fontId="7" fillId="3" borderId="0" xfId="1" applyFont="1" applyFill="1" applyBorder="1" applyAlignment="1">
      <alignment horizontal="center" vertical="center"/>
    </xf>
    <xf numFmtId="17" fontId="7" fillId="3" borderId="0" xfId="1" applyNumberFormat="1" applyFont="1" applyFill="1" applyBorder="1" applyAlignment="1">
      <alignment horizontal="center" vertical="center"/>
    </xf>
    <xf numFmtId="0" fontId="7" fillId="3" borderId="0" xfId="1" applyFont="1" applyFill="1" applyBorder="1" applyAlignment="1" applyProtection="1">
      <alignment horizontal="center" vertical="center"/>
      <protection locked="0"/>
    </xf>
    <xf numFmtId="0" fontId="8" fillId="0" borderId="0" xfId="0" applyFont="1"/>
    <xf numFmtId="0" fontId="9" fillId="4" borderId="2" xfId="0" applyFont="1" applyFill="1" applyBorder="1" applyAlignment="1">
      <alignment horizontal="left" vertical="center" wrapText="1"/>
    </xf>
    <xf numFmtId="0" fontId="9" fillId="4" borderId="2" xfId="0" applyFont="1" applyFill="1" applyBorder="1" applyAlignment="1">
      <alignment horizontal="center" vertical="center" wrapText="1" readingOrder="1"/>
    </xf>
    <xf numFmtId="0" fontId="9" fillId="4" borderId="2" xfId="0" applyFont="1" applyFill="1" applyBorder="1" applyAlignment="1">
      <alignment horizontal="center" vertical="center" wrapText="1"/>
    </xf>
    <xf numFmtId="0" fontId="10" fillId="0" borderId="2" xfId="0" applyFont="1" applyBorder="1" applyAlignment="1">
      <alignment horizontal="left" vertical="center"/>
    </xf>
    <xf numFmtId="0" fontId="10" fillId="0" borderId="2" xfId="0" applyFont="1" applyBorder="1" applyAlignment="1">
      <alignment horizontal="left" vertical="center" wrapText="1"/>
    </xf>
    <xf numFmtId="9" fontId="10" fillId="0" borderId="2" xfId="0" applyNumberFormat="1" applyFont="1" applyBorder="1" applyAlignment="1">
      <alignment horizontal="center" vertical="center"/>
    </xf>
    <xf numFmtId="0" fontId="10" fillId="0" borderId="2" xfId="0" applyFont="1" applyBorder="1" applyAlignment="1">
      <alignment horizontal="center" vertical="center"/>
    </xf>
    <xf numFmtId="2" fontId="10" fillId="0" borderId="2" xfId="0" applyNumberFormat="1" applyFont="1" applyBorder="1" applyAlignment="1">
      <alignment horizontal="center" vertical="center"/>
    </xf>
    <xf numFmtId="0" fontId="11" fillId="0" borderId="2" xfId="0" applyFont="1" applyBorder="1" applyAlignment="1">
      <alignment horizontal="left" vertical="center" readingOrder="1"/>
    </xf>
    <xf numFmtId="0" fontId="11" fillId="0" borderId="2" xfId="0" applyFont="1" applyBorder="1" applyAlignment="1">
      <alignment horizontal="left" vertical="center" wrapText="1" readingOrder="1"/>
    </xf>
    <xf numFmtId="10" fontId="11" fillId="0" borderId="2" xfId="0" applyNumberFormat="1" applyFont="1" applyBorder="1" applyAlignment="1">
      <alignment horizontal="center" vertical="center" readingOrder="1"/>
    </xf>
    <xf numFmtId="0" fontId="10" fillId="0" borderId="2" xfId="0" applyFont="1" applyBorder="1" applyAlignment="1">
      <alignment horizontal="center" vertical="center" readingOrder="1"/>
    </xf>
    <xf numFmtId="9" fontId="11" fillId="0" borderId="2" xfId="0" applyNumberFormat="1" applyFont="1" applyBorder="1" applyAlignment="1">
      <alignment horizontal="center" vertical="center" readingOrder="1"/>
    </xf>
    <xf numFmtId="0" fontId="1" fillId="5" borderId="0" xfId="1" applyFont="1" applyFill="1" applyAlignment="1">
      <alignment horizontal="center" vertical="center"/>
    </xf>
    <xf numFmtId="17" fontId="1" fillId="5" borderId="0" xfId="1" applyNumberFormat="1" applyFont="1" applyFill="1" applyAlignment="1">
      <alignment horizontal="center" vertical="center"/>
    </xf>
    <xf numFmtId="164" fontId="4" fillId="5" borderId="0" xfId="2" applyNumberFormat="1" applyFont="1" applyFill="1" applyAlignment="1">
      <alignment horizontal="center" vertical="center" wrapText="1"/>
    </xf>
    <xf numFmtId="10" fontId="1" fillId="5" borderId="0" xfId="3" applyNumberFormat="1" applyFont="1" applyFill="1" applyAlignment="1">
      <alignment horizontal="center" vertical="center"/>
    </xf>
    <xf numFmtId="0" fontId="0" fillId="5" borderId="0" xfId="1" applyFont="1" applyFill="1" applyAlignment="1">
      <alignment horizontal="center" vertical="center"/>
    </xf>
    <xf numFmtId="2" fontId="1" fillId="5" borderId="0" xfId="3" applyNumberFormat="1" applyFont="1" applyFill="1" applyAlignment="1">
      <alignment horizontal="center" vertical="center"/>
    </xf>
    <xf numFmtId="10" fontId="1" fillId="2" borderId="1" xfId="3" applyNumberFormat="1" applyFont="1" applyFill="1" applyBorder="1" applyAlignment="1" applyProtection="1">
      <alignment horizontal="center" vertical="center"/>
      <protection locked="0"/>
    </xf>
    <xf numFmtId="10" fontId="0" fillId="0" borderId="0" xfId="1" applyNumberFormat="1" applyFont="1" applyFill="1" applyBorder="1" applyAlignment="1" applyProtection="1">
      <alignment horizontal="center" vertical="center"/>
      <protection locked="0"/>
    </xf>
    <xf numFmtId="2" fontId="0" fillId="0" borderId="0" xfId="1" applyNumberFormat="1" applyFont="1" applyFill="1" applyBorder="1" applyAlignment="1" applyProtection="1">
      <alignment horizontal="center" vertical="center"/>
      <protection locked="0"/>
    </xf>
    <xf numFmtId="10" fontId="1" fillId="0" borderId="0" xfId="3" applyNumberFormat="1" applyFont="1" applyFill="1" applyBorder="1" applyAlignment="1" applyProtection="1">
      <alignment horizontal="center" vertical="center"/>
      <protection locked="0"/>
    </xf>
    <xf numFmtId="10" fontId="0" fillId="0" borderId="0" xfId="3" applyNumberFormat="1" applyFont="1" applyFill="1" applyBorder="1" applyAlignment="1" applyProtection="1">
      <alignment horizontal="center" vertical="center"/>
      <protection locked="0"/>
    </xf>
    <xf numFmtId="2" fontId="1" fillId="0" borderId="0" xfId="3" applyNumberFormat="1" applyFont="1" applyFill="1" applyBorder="1" applyAlignment="1" applyProtection="1">
      <alignment horizontal="center" vertical="center"/>
      <protection locked="0"/>
    </xf>
    <xf numFmtId="0" fontId="0" fillId="0" borderId="0" xfId="0" applyFill="1" applyBorder="1" applyProtection="1">
      <protection locked="0"/>
    </xf>
    <xf numFmtId="0" fontId="0" fillId="0" borderId="0" xfId="0" applyBorder="1" applyProtection="1">
      <protection locked="0"/>
    </xf>
    <xf numFmtId="1" fontId="1" fillId="2" borderId="1" xfId="3" applyNumberFormat="1" applyFont="1" applyFill="1" applyBorder="1" applyAlignment="1">
      <alignment horizontal="center" vertical="center"/>
    </xf>
    <xf numFmtId="10" fontId="1" fillId="2" borderId="1" xfId="5" applyNumberFormat="1" applyFill="1" applyBorder="1" applyAlignment="1">
      <alignment horizontal="center" vertical="center"/>
    </xf>
    <xf numFmtId="9" fontId="1" fillId="2" borderId="1" xfId="5" applyFill="1" applyBorder="1" applyAlignment="1">
      <alignment horizontal="center" vertical="center"/>
    </xf>
    <xf numFmtId="167" fontId="1" fillId="0" borderId="0" xfId="3" applyNumberFormat="1" applyFont="1" applyFill="1" applyAlignment="1">
      <alignment horizontal="center" vertical="center"/>
    </xf>
    <xf numFmtId="2" fontId="1" fillId="2" borderId="1" xfId="3" applyNumberFormat="1" applyFont="1" applyFill="1" applyBorder="1" applyAlignment="1">
      <alignment horizontal="center" vertical="center"/>
    </xf>
    <xf numFmtId="0" fontId="0" fillId="0" borderId="0" xfId="0" applyFont="1" applyBorder="1" applyAlignment="1">
      <alignment horizontal="center" vertical="center"/>
    </xf>
    <xf numFmtId="165" fontId="0" fillId="0" borderId="0" xfId="0" applyNumberFormat="1" applyFont="1" applyBorder="1" applyAlignment="1">
      <alignment horizontal="center" vertical="center"/>
    </xf>
    <xf numFmtId="0" fontId="0" fillId="0" borderId="0" xfId="0" applyAlignment="1">
      <alignment horizontal="center"/>
    </xf>
    <xf numFmtId="0" fontId="0" fillId="0" borderId="0" xfId="0" applyAlignment="1">
      <alignment horizontal="left"/>
    </xf>
    <xf numFmtId="0" fontId="12" fillId="0" borderId="1" xfId="0" applyFont="1" applyBorder="1" applyAlignment="1">
      <alignment horizontal="center"/>
    </xf>
    <xf numFmtId="0" fontId="12" fillId="0" borderId="0" xfId="0" applyFont="1" applyBorder="1" applyAlignment="1">
      <alignment horizontal="center" vertical="center"/>
    </xf>
    <xf numFmtId="0" fontId="12" fillId="0" borderId="0" xfId="0" applyFont="1" applyBorder="1" applyAlignment="1">
      <alignment horizontal="center"/>
    </xf>
    <xf numFmtId="0" fontId="13" fillId="0" borderId="0" xfId="0" applyFont="1" applyAlignment="1">
      <alignment horizontal="center"/>
    </xf>
    <xf numFmtId="0" fontId="14" fillId="0" borderId="0" xfId="0" applyFont="1" applyAlignment="1">
      <alignment horizontal="center"/>
    </xf>
    <xf numFmtId="0" fontId="15" fillId="0" borderId="0" xfId="0" applyFont="1" applyAlignment="1">
      <alignment horizontal="center"/>
    </xf>
    <xf numFmtId="0" fontId="16" fillId="0" borderId="0" xfId="0" applyFont="1" applyAlignment="1">
      <alignment horizontal="center" vertical="center"/>
    </xf>
    <xf numFmtId="0" fontId="17" fillId="0" borderId="0" xfId="0" applyFont="1" applyAlignment="1">
      <alignment horizontal="center" vertical="center" wrapText="1"/>
    </xf>
    <xf numFmtId="0" fontId="0" fillId="0" borderId="0" xfId="0" applyFont="1" applyBorder="1" applyAlignment="1">
      <alignment horizontal="center" vertical="center" wrapText="1"/>
    </xf>
    <xf numFmtId="166" fontId="0" fillId="0" borderId="0" xfId="0" applyNumberFormat="1" applyFont="1" applyAlignment="1">
      <alignment horizontal="center"/>
    </xf>
    <xf numFmtId="0" fontId="0" fillId="0" borderId="0" xfId="0" applyFont="1" applyAlignment="1">
      <alignment horizontal="center"/>
    </xf>
    <xf numFmtId="22" fontId="0" fillId="0" borderId="0" xfId="0" applyNumberFormat="1" applyFont="1" applyAlignment="1">
      <alignment horizontal="center"/>
    </xf>
    <xf numFmtId="0" fontId="0" fillId="0" borderId="0" xfId="0" applyFont="1"/>
    <xf numFmtId="165" fontId="0" fillId="0" borderId="0" xfId="0" applyNumberFormat="1" applyFont="1" applyAlignment="1">
      <alignment horizontal="center"/>
    </xf>
    <xf numFmtId="0" fontId="0" fillId="0" borderId="0" xfId="0" applyFont="1" applyBorder="1" applyAlignment="1">
      <alignment horizontal="center"/>
    </xf>
    <xf numFmtId="165" fontId="0" fillId="0" borderId="0" xfId="0" applyNumberFormat="1" applyFont="1" applyBorder="1" applyAlignment="1">
      <alignment horizontal="center"/>
    </xf>
    <xf numFmtId="0" fontId="0" fillId="0" borderId="1" xfId="0" applyFont="1" applyBorder="1" applyAlignment="1">
      <alignment horizontal="center"/>
    </xf>
    <xf numFmtId="9" fontId="15" fillId="0" borderId="0" xfId="5" applyFont="1" applyAlignment="1">
      <alignment horizontal="center" vertical="center" wrapText="1"/>
    </xf>
    <xf numFmtId="0" fontId="0" fillId="0" borderId="0" xfId="0" applyFont="1" applyAlignment="1">
      <alignment horizontal="left"/>
    </xf>
    <xf numFmtId="0" fontId="0" fillId="0" borderId="0" xfId="0" quotePrefix="1" applyFont="1" applyAlignment="1">
      <alignment horizontal="center"/>
    </xf>
    <xf numFmtId="20" fontId="0" fillId="0" borderId="0" xfId="0" applyNumberFormat="1" applyFont="1" applyAlignment="1">
      <alignment horizontal="center"/>
    </xf>
    <xf numFmtId="9" fontId="6" fillId="2" borderId="0" xfId="5" applyFont="1" applyFill="1" applyAlignment="1">
      <alignment horizontal="center" vertical="center"/>
    </xf>
    <xf numFmtId="0" fontId="5" fillId="2" borderId="0" xfId="0" applyFont="1" applyFill="1" applyAlignment="1">
      <alignment horizontal="center"/>
    </xf>
  </cellXfs>
  <cellStyles count="6">
    <cellStyle name="Normal" xfId="0" builtinId="0"/>
    <cellStyle name="Normal 2" xfId="1" xr:uid="{00000000-0005-0000-0000-000001000000}"/>
    <cellStyle name="Normal 2 2" xfId="2" xr:uid="{00000000-0005-0000-0000-000002000000}"/>
    <cellStyle name="Normal 3" xfId="4" xr:uid="{00000000-0005-0000-0000-000003000000}"/>
    <cellStyle name="Percent" xfId="5" builtinId="5"/>
    <cellStyle name="Percent 2" xfId="3" xr:uid="{00000000-0005-0000-0000-000005000000}"/>
  </cellStyles>
  <dxfs count="70">
    <dxf>
      <fill>
        <gradientFill degree="90">
          <stop position="0">
            <color theme="0"/>
          </stop>
          <stop position="1">
            <color rgb="FF0099FF"/>
          </stop>
        </gradientFill>
      </fill>
    </dxf>
    <dxf>
      <fill>
        <gradientFill degree="90">
          <stop position="0">
            <color theme="0"/>
          </stop>
          <stop position="1">
            <color rgb="FFFFCF01"/>
          </stop>
        </gradientFill>
      </fill>
    </dxf>
    <dxf>
      <fill>
        <gradientFill degree="90">
          <stop position="0">
            <color theme="0"/>
          </stop>
          <stop position="1">
            <color rgb="FFB0DF1B"/>
          </stop>
        </gradientFill>
      </fill>
    </dxf>
    <dxf>
      <fill>
        <gradientFill degree="90">
          <stop position="0">
            <color theme="0"/>
          </stop>
          <stop position="1">
            <color rgb="FF0099FF"/>
          </stop>
        </gradientFill>
      </fill>
    </dxf>
    <dxf>
      <fill>
        <gradientFill degree="90">
          <stop position="0">
            <color theme="0"/>
          </stop>
          <stop position="1">
            <color rgb="FFFFCF01"/>
          </stop>
        </gradientFill>
      </fill>
    </dxf>
    <dxf>
      <fill>
        <gradientFill degree="90">
          <stop position="0">
            <color theme="0"/>
          </stop>
          <stop position="1">
            <color rgb="FFB0DF1B"/>
          </stop>
        </gradientFill>
      </fill>
    </dxf>
    <dxf>
      <fill>
        <gradientFill degree="90">
          <stop position="0">
            <color theme="0"/>
          </stop>
          <stop position="1">
            <color rgb="FF0099FF"/>
          </stop>
        </gradientFill>
      </fill>
    </dxf>
    <dxf>
      <fill>
        <gradientFill degree="90">
          <stop position="0">
            <color theme="0"/>
          </stop>
          <stop position="1">
            <color rgb="FFFFCF01"/>
          </stop>
        </gradientFill>
      </fill>
    </dxf>
    <dxf>
      <fill>
        <gradientFill degree="90">
          <stop position="0">
            <color theme="0"/>
          </stop>
          <stop position="1">
            <color rgb="FFB0DF1B"/>
          </stop>
        </gradientFill>
      </fill>
    </dxf>
    <dxf>
      <fill>
        <gradientFill degree="90">
          <stop position="0">
            <color theme="0"/>
          </stop>
          <stop position="1">
            <color rgb="FF0099FF"/>
          </stop>
        </gradientFill>
      </fill>
    </dxf>
    <dxf>
      <fill>
        <gradientFill degree="90">
          <stop position="0">
            <color theme="0"/>
          </stop>
          <stop position="1">
            <color rgb="FFFFCF01"/>
          </stop>
        </gradientFill>
      </fill>
    </dxf>
    <dxf>
      <fill>
        <gradientFill degree="90">
          <stop position="0">
            <color theme="0"/>
          </stop>
          <stop position="1">
            <color rgb="FFB0DF1B"/>
          </stop>
        </gradientFill>
      </fill>
    </dxf>
    <dxf>
      <fill>
        <gradientFill degree="90">
          <stop position="0">
            <color theme="0"/>
          </stop>
          <stop position="1">
            <color rgb="FF0099FF"/>
          </stop>
        </gradientFill>
      </fill>
    </dxf>
    <dxf>
      <fill>
        <gradientFill degree="90">
          <stop position="0">
            <color theme="0"/>
          </stop>
          <stop position="1">
            <color rgb="FFFFCF01"/>
          </stop>
        </gradientFill>
      </fill>
    </dxf>
    <dxf>
      <fill>
        <gradientFill degree="90">
          <stop position="0">
            <color theme="0"/>
          </stop>
          <stop position="1">
            <color rgb="FFB0DF1B"/>
          </stop>
        </gradientFill>
      </fill>
    </dxf>
    <dxf>
      <fill>
        <gradientFill degree="90">
          <stop position="0">
            <color theme="0"/>
          </stop>
          <stop position="1">
            <color rgb="FF0099FF"/>
          </stop>
        </gradientFill>
      </fill>
    </dxf>
    <dxf>
      <fill>
        <gradientFill degree="90">
          <stop position="0">
            <color theme="0"/>
          </stop>
          <stop position="1">
            <color rgb="FFFFCF01"/>
          </stop>
        </gradientFill>
      </fill>
    </dxf>
    <dxf>
      <fill>
        <gradientFill degree="90">
          <stop position="0">
            <color theme="0"/>
          </stop>
          <stop position="1">
            <color rgb="FFB0DF1B"/>
          </stop>
        </gradientFill>
      </fill>
    </dxf>
    <dxf>
      <fill>
        <gradientFill degree="90">
          <stop position="0">
            <color theme="0"/>
          </stop>
          <stop position="1">
            <color rgb="FF0099FF"/>
          </stop>
        </gradientFill>
      </fill>
    </dxf>
    <dxf>
      <fill>
        <gradientFill degree="90">
          <stop position="0">
            <color theme="0"/>
          </stop>
          <stop position="1">
            <color rgb="FFFFCF01"/>
          </stop>
        </gradientFill>
      </fill>
    </dxf>
    <dxf>
      <fill>
        <gradientFill degree="90">
          <stop position="0">
            <color theme="0"/>
          </stop>
          <stop position="1">
            <color rgb="FFB0DF1B"/>
          </stop>
        </gradientFill>
      </fill>
    </dxf>
    <dxf>
      <fill>
        <gradientFill degree="90">
          <stop position="0">
            <color theme="0"/>
          </stop>
          <stop position="1">
            <color rgb="FF0099FF"/>
          </stop>
        </gradientFill>
      </fill>
    </dxf>
    <dxf>
      <fill>
        <gradientFill degree="90">
          <stop position="0">
            <color theme="0"/>
          </stop>
          <stop position="1">
            <color rgb="FFFFCF01"/>
          </stop>
        </gradientFill>
      </fill>
    </dxf>
    <dxf>
      <fill>
        <gradientFill degree="90">
          <stop position="0">
            <color theme="0"/>
          </stop>
          <stop position="1">
            <color rgb="FFB0DF1B"/>
          </stop>
        </gradientFill>
      </fill>
    </dxf>
    <dxf>
      <fill>
        <gradientFill degree="90">
          <stop position="0">
            <color theme="0"/>
          </stop>
          <stop position="1">
            <color rgb="FF0099FF"/>
          </stop>
        </gradientFill>
      </fill>
    </dxf>
    <dxf>
      <fill>
        <gradientFill degree="90">
          <stop position="0">
            <color theme="0"/>
          </stop>
          <stop position="1">
            <color rgb="FFFFCF01"/>
          </stop>
        </gradientFill>
      </fill>
    </dxf>
    <dxf>
      <fill>
        <gradientFill degree="90">
          <stop position="0">
            <color theme="0"/>
          </stop>
          <stop position="1">
            <color rgb="FFB0DF1B"/>
          </stop>
        </gradientFill>
      </fill>
    </dxf>
    <dxf>
      <fill>
        <gradientFill degree="90">
          <stop position="0">
            <color theme="0"/>
          </stop>
          <stop position="1">
            <color rgb="FF0099FF"/>
          </stop>
        </gradientFill>
      </fill>
    </dxf>
    <dxf>
      <fill>
        <gradientFill degree="90">
          <stop position="0">
            <color theme="0"/>
          </stop>
          <stop position="1">
            <color rgb="FFFFCF01"/>
          </stop>
        </gradientFill>
      </fill>
    </dxf>
    <dxf>
      <fill>
        <gradientFill degree="90">
          <stop position="0">
            <color theme="0"/>
          </stop>
          <stop position="1">
            <color rgb="FFB0DF1B"/>
          </stop>
        </gradientFill>
      </fill>
    </dxf>
    <dxf>
      <fill>
        <gradientFill degree="90">
          <stop position="0">
            <color theme="0"/>
          </stop>
          <stop position="1">
            <color rgb="FF0099FF"/>
          </stop>
        </gradientFill>
      </fill>
    </dxf>
    <dxf>
      <fill>
        <gradientFill degree="90">
          <stop position="0">
            <color theme="0"/>
          </stop>
          <stop position="1">
            <color rgb="FFFFCF01"/>
          </stop>
        </gradientFill>
      </fill>
    </dxf>
    <dxf>
      <fill>
        <gradientFill degree="90">
          <stop position="0">
            <color theme="0"/>
          </stop>
          <stop position="1">
            <color rgb="FFB0DF1B"/>
          </stop>
        </gradientFill>
      </fill>
    </dxf>
    <dxf>
      <fill>
        <gradientFill degree="90">
          <stop position="0">
            <color theme="0"/>
          </stop>
          <stop position="1">
            <color rgb="FF0099FF"/>
          </stop>
        </gradientFill>
      </fill>
    </dxf>
    <dxf>
      <fill>
        <gradientFill degree="90">
          <stop position="0">
            <color theme="0"/>
          </stop>
          <stop position="1">
            <color rgb="FFFFCF01"/>
          </stop>
        </gradientFill>
      </fill>
    </dxf>
    <dxf>
      <fill>
        <gradientFill degree="90">
          <stop position="0">
            <color theme="0"/>
          </stop>
          <stop position="1">
            <color rgb="FFB0DF1B"/>
          </stop>
        </gradientFill>
      </fill>
    </dxf>
    <dxf>
      <fill>
        <gradientFill degree="90">
          <stop position="0">
            <color theme="0"/>
          </stop>
          <stop position="1">
            <color rgb="FF0099FF"/>
          </stop>
        </gradientFill>
      </fill>
    </dxf>
    <dxf>
      <fill>
        <gradientFill degree="90">
          <stop position="0">
            <color theme="0"/>
          </stop>
          <stop position="1">
            <color rgb="FFFFCF01"/>
          </stop>
        </gradientFill>
      </fill>
    </dxf>
    <dxf>
      <fill>
        <gradientFill degree="90">
          <stop position="0">
            <color theme="0"/>
          </stop>
          <stop position="1">
            <color rgb="FFB0DF1B"/>
          </stop>
        </gradientFill>
      </fill>
    </dxf>
    <dxf>
      <font>
        <b/>
        <i val="0"/>
        <color rgb="FFFF0000"/>
      </font>
    </dxf>
    <dxf>
      <font>
        <b/>
        <i val="0"/>
        <color rgb="FFFF0000"/>
      </font>
    </dxf>
    <dxf>
      <font>
        <b/>
        <i val="0"/>
        <color rgb="FFFF0000"/>
      </font>
    </dxf>
    <dxf>
      <font>
        <b/>
        <i val="0"/>
        <color rgb="FFFF0000"/>
      </font>
    </dxf>
    <dxf>
      <font>
        <b/>
        <i val="0"/>
        <color rgb="FFFF0000"/>
      </font>
    </dxf>
    <dxf>
      <fill>
        <gradientFill degree="90">
          <stop position="0">
            <color theme="0"/>
          </stop>
          <stop position="1">
            <color rgb="FF0099FF"/>
          </stop>
        </gradientFill>
      </fill>
    </dxf>
    <dxf>
      <fill>
        <gradientFill degree="90">
          <stop position="0">
            <color theme="0"/>
          </stop>
          <stop position="1">
            <color rgb="FFFFCF01"/>
          </stop>
        </gradientFill>
      </fill>
    </dxf>
    <dxf>
      <fill>
        <gradientFill degree="90">
          <stop position="0">
            <color theme="0"/>
          </stop>
          <stop position="1">
            <color rgb="FFB0DF1B"/>
          </stop>
        </gradientFill>
      </fill>
    </dxf>
    <dxf>
      <fill>
        <gradientFill degree="90">
          <stop position="0">
            <color theme="0"/>
          </stop>
          <stop position="1">
            <color rgb="FF0099FF"/>
          </stop>
        </gradientFill>
      </fill>
    </dxf>
    <dxf>
      <fill>
        <gradientFill degree="90">
          <stop position="0">
            <color theme="0"/>
          </stop>
          <stop position="1">
            <color rgb="FFFFCF01"/>
          </stop>
        </gradientFill>
      </fill>
    </dxf>
    <dxf>
      <fill>
        <gradientFill degree="90">
          <stop position="0">
            <color theme="0"/>
          </stop>
          <stop position="1">
            <color rgb="FFB0DF1B"/>
          </stop>
        </gradientFill>
      </fill>
    </dxf>
    <dxf>
      <fill>
        <gradientFill degree="90">
          <stop position="0">
            <color theme="0"/>
          </stop>
          <stop position="1">
            <color rgb="FF0099FF"/>
          </stop>
        </gradientFill>
      </fill>
    </dxf>
    <dxf>
      <fill>
        <gradientFill degree="90">
          <stop position="0">
            <color theme="0"/>
          </stop>
          <stop position="1">
            <color rgb="FFFFCF01"/>
          </stop>
        </gradientFill>
      </fill>
    </dxf>
    <dxf>
      <fill>
        <gradientFill degree="90">
          <stop position="0">
            <color theme="0"/>
          </stop>
          <stop position="1">
            <color rgb="FFB0DF1B"/>
          </stop>
        </gradientFill>
      </fill>
    </dxf>
    <dxf>
      <font>
        <b/>
        <i val="0"/>
        <color rgb="FFFF0000"/>
      </font>
    </dxf>
    <dxf>
      <font>
        <color rgb="FF9C0006"/>
      </font>
      <fill>
        <patternFill>
          <bgColor rgb="FFFFC7CE"/>
        </patternFill>
      </fill>
    </dxf>
    <dxf>
      <font>
        <b/>
        <i val="0"/>
        <color theme="1"/>
      </font>
      <border>
        <left/>
        <right/>
        <top/>
        <bottom/>
        <vertical/>
        <horizontal/>
      </border>
    </dxf>
    <dxf>
      <font>
        <color theme="1"/>
      </font>
      <fill>
        <patternFill>
          <bgColor rgb="FF97D1F1"/>
        </patternFill>
      </fill>
      <border>
        <left/>
        <right/>
        <top/>
        <bottom/>
        <vertical/>
        <horizontal/>
      </border>
    </dxf>
    <dxf>
      <font>
        <b/>
        <i val="0"/>
        <color theme="1"/>
      </font>
      <border>
        <left/>
        <right/>
        <top/>
        <bottom/>
        <vertical/>
        <horizontal/>
      </border>
    </dxf>
    <dxf>
      <font>
        <color theme="1"/>
      </font>
      <fill>
        <patternFill>
          <bgColor rgb="FF97D1F1"/>
        </patternFill>
      </fill>
      <border>
        <left/>
        <right/>
        <top/>
        <bottom/>
        <vertical/>
        <horizontal/>
      </border>
    </dxf>
    <dxf>
      <font>
        <b/>
        <i val="0"/>
        <color theme="1"/>
      </font>
      <border>
        <left/>
        <right/>
        <top/>
        <bottom/>
        <vertical/>
        <horizontal/>
      </border>
    </dxf>
    <dxf>
      <font>
        <color theme="1"/>
      </font>
      <fill>
        <patternFill>
          <bgColor rgb="FF97D1F1"/>
        </patternFill>
      </fill>
      <border>
        <left/>
        <right/>
        <top/>
        <bottom/>
        <vertical/>
        <horizontal/>
      </border>
    </dxf>
    <dxf>
      <font>
        <b/>
        <i val="0"/>
        <color theme="1"/>
      </font>
      <border>
        <left/>
        <right/>
        <top/>
        <bottom/>
        <vertical/>
        <horizontal/>
      </border>
    </dxf>
    <dxf>
      <font>
        <color theme="1"/>
      </font>
      <fill>
        <patternFill>
          <bgColor rgb="FF97D1F1"/>
        </patternFill>
      </fill>
      <border>
        <left/>
        <right/>
        <top/>
        <bottom/>
        <vertical/>
        <horizontal/>
      </border>
    </dxf>
    <dxf>
      <fill>
        <patternFill patternType="solid">
          <fgColor theme="6" tint="0.79989013336588644"/>
          <bgColor rgb="FF97D1F1"/>
        </patternFill>
      </fill>
      <border>
        <left/>
        <right/>
        <top/>
        <bottom/>
        <vertical/>
        <horizontal/>
      </border>
    </dxf>
    <dxf>
      <fill>
        <patternFill patternType="solid">
          <fgColor theme="6" tint="0.79989013336588644"/>
          <bgColor rgb="FF97D1F1"/>
        </patternFill>
      </fill>
      <border>
        <left/>
        <right/>
        <top/>
        <bottom/>
        <vertical/>
        <horizontal/>
      </border>
    </dxf>
    <dxf>
      <font>
        <b/>
        <color theme="1"/>
      </font>
      <fill>
        <patternFill patternType="solid">
          <fgColor theme="6" tint="0.79982909634693444"/>
          <bgColor rgb="FFD7EDF9"/>
        </patternFill>
      </fill>
      <border>
        <left/>
        <right/>
        <top/>
        <bottom/>
        <vertical/>
        <horizontal/>
      </border>
    </dxf>
    <dxf>
      <font>
        <b/>
        <color theme="1"/>
      </font>
      <fill>
        <patternFill>
          <bgColor rgb="FF97D1F1"/>
        </patternFill>
      </fill>
      <border>
        <left/>
        <right/>
        <top/>
        <bottom/>
        <vertical/>
        <horizontal/>
      </border>
    </dxf>
    <dxf>
      <font>
        <color theme="1"/>
      </font>
      <fill>
        <patternFill>
          <bgColor rgb="FF97D1F1"/>
        </patternFill>
      </fill>
      <border>
        <left/>
        <right/>
        <top/>
        <bottom/>
        <vertical/>
        <horizontal/>
      </border>
    </dxf>
    <dxf>
      <font>
        <b/>
        <i val="0"/>
        <color theme="1"/>
      </font>
      <fill>
        <patternFill patternType="solid">
          <fgColor theme="6"/>
          <bgColor rgb="FF97D1F1"/>
        </patternFill>
      </fill>
      <border>
        <left/>
        <right/>
        <top/>
        <bottom/>
        <vertical/>
        <horizontal/>
      </border>
    </dxf>
    <dxf>
      <font>
        <color theme="1"/>
      </font>
      <fill>
        <patternFill>
          <bgColor theme="0"/>
        </patternFill>
      </fill>
      <border>
        <left/>
        <right/>
        <top/>
        <bottom/>
        <vertical/>
        <horizontal/>
      </border>
    </dxf>
  </dxfs>
  <tableStyles count="5" defaultTableStyle="TableStyleMedium2" defaultPivotStyle="PivotStyleLight16">
    <tableStyle name="PivotStyleIntegrity" table="0" count="7" xr9:uid="{00000000-0011-0000-FFFF-FFFF00000000}">
      <tableStyleElement type="wholeTable" dxfId="69"/>
      <tableStyleElement type="headerRow" dxfId="68"/>
      <tableStyleElement type="totalRow" dxfId="67"/>
      <tableStyleElement type="firstSubtotalColumn" dxfId="66"/>
      <tableStyleElement type="firstRowSubheading" dxfId="65"/>
      <tableStyleElement type="pageFieldLabels" dxfId="64"/>
      <tableStyleElement type="pageFieldValues" dxfId="63"/>
    </tableStyle>
    <tableStyle name="SlicerIntegrity" pivot="0" table="0" count="10" xr9:uid="{00000000-0011-0000-FFFF-FFFF01000000}">
      <tableStyleElement type="wholeTable" dxfId="62"/>
      <tableStyleElement type="headerRow" dxfId="61"/>
    </tableStyle>
    <tableStyle name="SlicerIntegrity 2" pivot="0" table="0" count="10" xr9:uid="{00000000-0011-0000-FFFF-FFFF02000000}">
      <tableStyleElement type="wholeTable" dxfId="60"/>
      <tableStyleElement type="headerRow" dxfId="59"/>
    </tableStyle>
    <tableStyle name="SlicerIntegrity 3" pivot="0" table="0" count="10" xr9:uid="{00000000-0011-0000-FFFF-FFFF03000000}">
      <tableStyleElement type="wholeTable" dxfId="58"/>
      <tableStyleElement type="headerRow" dxfId="57"/>
    </tableStyle>
    <tableStyle name="SlicerIntegrity 4" pivot="0" table="0" count="10" xr9:uid="{00000000-0011-0000-FFFF-FFFF04000000}">
      <tableStyleElement type="wholeTable" dxfId="56"/>
      <tableStyleElement type="headerRow" dxfId="55"/>
    </tableStyle>
  </tableStyles>
  <colors>
    <mruColors>
      <color rgb="FF97D1F1"/>
    </mruColors>
  </colors>
  <extLst>
    <ext xmlns:x14="http://schemas.microsoft.com/office/spreadsheetml/2009/9/main" uri="{46F421CA-312F-682f-3DD2-61675219B42D}">
      <x14:dxfs count="32">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b/>
            <i val="0"/>
            <color theme="1"/>
          </font>
          <fill>
            <patternFill patternType="solid">
              <fgColor theme="8"/>
              <bgColor theme="0" tint="-4.9989318521683403E-2"/>
            </patternFill>
          </fill>
          <border>
            <left/>
            <right/>
            <top/>
            <bottom/>
            <vertical/>
            <horizontal/>
          </border>
        </dxf>
        <dxf>
          <font>
            <color rgb="FF959595"/>
          </font>
          <fill>
            <patternFill patternType="solid">
              <fgColor rgb="FFDFDFDF"/>
              <bgColor rgb="FF97D1F1"/>
            </patternFill>
          </fill>
          <border>
            <left/>
            <right/>
            <top/>
            <bottom/>
            <vertical/>
            <horizontal/>
          </border>
        </dxf>
        <dxf>
          <font>
            <b/>
            <i val="0"/>
            <color theme="0"/>
          </font>
          <fill>
            <patternFill patternType="solid">
              <fgColor rgb="FFC0C0C0"/>
              <bgColor rgb="FF1F9BDE"/>
            </patternFill>
          </fill>
          <border>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b/>
            <i val="0"/>
            <color theme="1"/>
          </font>
          <fill>
            <patternFill patternType="solid">
              <fgColor theme="8"/>
              <bgColor theme="0" tint="-4.9989318521683403E-2"/>
            </patternFill>
          </fill>
          <border>
            <left/>
            <right/>
            <top/>
            <bottom/>
            <vertical/>
            <horizontal/>
          </border>
        </dxf>
        <dxf>
          <font>
            <color rgb="FF959595"/>
          </font>
          <fill>
            <patternFill patternType="solid">
              <fgColor rgb="FFDFDFDF"/>
              <bgColor rgb="FF97D1F1"/>
            </patternFill>
          </fill>
          <border>
            <left/>
            <right/>
            <top/>
            <bottom/>
            <vertical/>
            <horizontal/>
          </border>
        </dxf>
        <dxf>
          <font>
            <b/>
            <i val="0"/>
            <color theme="0"/>
          </font>
          <fill>
            <patternFill patternType="solid">
              <fgColor rgb="FFC0C0C0"/>
              <bgColor rgb="FF1F9BDE"/>
            </patternFill>
          </fill>
          <border>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b/>
            <i val="0"/>
            <color theme="1"/>
          </font>
          <fill>
            <patternFill patternType="solid">
              <fgColor theme="8"/>
              <bgColor theme="0" tint="-4.9989318521683403E-2"/>
            </patternFill>
          </fill>
          <border>
            <left/>
            <right/>
            <top/>
            <bottom/>
            <vertical/>
            <horizontal/>
          </border>
        </dxf>
        <dxf>
          <font>
            <color rgb="FF959595"/>
          </font>
          <fill>
            <patternFill patternType="solid">
              <fgColor rgb="FFDFDFDF"/>
              <bgColor rgb="FF97D1F1"/>
            </patternFill>
          </fill>
          <border>
            <left/>
            <right/>
            <top/>
            <bottom/>
            <vertical/>
            <horizontal/>
          </border>
        </dxf>
        <dxf>
          <font>
            <b/>
            <i val="0"/>
            <color theme="0"/>
          </font>
          <fill>
            <patternFill patternType="solid">
              <fgColor rgb="FFC0C0C0"/>
              <bgColor rgb="FF1F9BDE"/>
            </patternFill>
          </fill>
          <border>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8" tint="-0.249977111117893"/>
          </font>
          <fill>
            <patternFill patternType="solid">
              <fgColor theme="8" tint="0.59999389629810485"/>
              <bgColor theme="8" tint="0.59999389629810485"/>
            </patternFill>
          </fill>
          <border>
            <left style="thin">
              <color theme="8" tint="0.59999389629810485"/>
            </left>
            <right style="thin">
              <color theme="8" tint="0.59999389629810485"/>
            </right>
            <top style="thin">
              <color theme="8" tint="0.59999389629810485"/>
            </top>
            <bottom style="thin">
              <color theme="8" tint="0.59999389629810485"/>
            </bottom>
            <vertical/>
            <horizontal/>
          </border>
        </dxf>
        <dxf>
          <font>
            <b/>
            <i val="0"/>
            <color theme="1"/>
          </font>
          <fill>
            <patternFill patternType="solid">
              <fgColor theme="8"/>
              <bgColor theme="0" tint="-4.9989318521683403E-2"/>
            </patternFill>
          </fill>
          <border>
            <left/>
            <right/>
            <top/>
            <bottom/>
            <vertical/>
            <horizontal/>
          </border>
        </dxf>
        <dxf>
          <font>
            <color rgb="FF959595"/>
          </font>
          <fill>
            <patternFill patternType="solid">
              <fgColor rgb="FFDFDFDF"/>
              <bgColor rgb="FF97D1F1"/>
            </patternFill>
          </fill>
          <border>
            <left/>
            <right/>
            <top/>
            <bottom/>
            <vertical/>
            <horizontal/>
          </border>
        </dxf>
        <dxf>
          <font>
            <b/>
            <i val="0"/>
            <color theme="0"/>
          </font>
          <fill>
            <patternFill patternType="solid">
              <fgColor rgb="FFC0C0C0"/>
              <bgColor rgb="FF1F9BDE"/>
            </patternFill>
          </fill>
          <border>
            <left/>
            <right/>
            <top/>
            <bottom/>
            <vertical/>
            <horizontal/>
          </border>
        </dxf>
      </x14:dxfs>
    </ext>
    <ext xmlns:x14="http://schemas.microsoft.com/office/spreadsheetml/2009/9/main" uri="{EB79DEF2-80B8-43e5-95BD-54CBDDF9020C}">
      <x14:slicerStyles defaultSlicerStyle="SlicerStyleLight1">
        <x14:slicerStyle name="SlicerIntegrity">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Integrity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Integrity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Integrity 4">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[Tracker de gestion IT Diego Castilllo.xlsm]PIVOT!PivotTable3</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PIVOT!$B$5:$B$6</c:f>
              <c:strCache>
                <c:ptCount val="1"/>
                <c:pt idx="0">
                  <c:v>Grand Total</c:v>
                </c:pt>
              </c:strCache>
            </c:strRef>
          </c:tx>
          <c:spPr>
            <a:solidFill>
              <a:schemeClr val="accent1"/>
            </a:solidFill>
            <a:ln>
              <a:noFill/>
            </a:ln>
            <a:effectLst/>
          </c:spPr>
          <c:invertIfNegative val="0"/>
          <c:cat>
            <c:strRef>
              <c:f>PIVOT!$A$7</c:f>
              <c:strCache>
                <c:ptCount val="1"/>
                <c:pt idx="0">
                  <c:v>Grand Total</c:v>
                </c:pt>
              </c:strCache>
            </c:strRef>
          </c:cat>
          <c:val>
            <c:numRef>
              <c:f>PIVOT!$B$7</c:f>
              <c:numCache>
                <c:formatCode>0%</c:formatCode>
                <c:ptCount val="1"/>
              </c:numCache>
            </c:numRef>
          </c:val>
          <c:extLst>
            <c:ext xmlns:c16="http://schemas.microsoft.com/office/drawing/2014/chart" uri="{C3380CC4-5D6E-409C-BE32-E72D297353CC}">
              <c16:uniqueId val="{00000000-6505-416B-937C-4C34EB45E68A}"/>
            </c:ext>
          </c:extLst>
        </c:ser>
        <c:dLbls>
          <c:showLegendKey val="0"/>
          <c:showVal val="0"/>
          <c:showCatName val="0"/>
          <c:showSerName val="0"/>
          <c:showPercent val="0"/>
          <c:showBubbleSize val="0"/>
        </c:dLbls>
        <c:gapWidth val="219"/>
        <c:overlap val="-27"/>
        <c:axId val="318972320"/>
        <c:axId val="318973104"/>
      </c:barChart>
      <c:catAx>
        <c:axId val="318972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8973104"/>
        <c:crosses val="autoZero"/>
        <c:auto val="1"/>
        <c:lblAlgn val="ctr"/>
        <c:lblOffset val="100"/>
        <c:noMultiLvlLbl val="0"/>
      </c:catAx>
      <c:valAx>
        <c:axId val="3189731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8972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[Tracker de gestion IT Diego Castilllo.xlsm]PIVOT!PivotTable4</c:name>
    <c:fmtId val="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PIVOT!$B$23:$B$24</c:f>
              <c:strCache>
                <c:ptCount val="1"/>
                <c:pt idx="0">
                  <c:v>Grand Total</c:v>
                </c:pt>
              </c:strCache>
            </c:strRef>
          </c:tx>
          <c:spPr>
            <a:solidFill>
              <a:schemeClr val="accent1"/>
            </a:solidFill>
            <a:ln>
              <a:noFill/>
            </a:ln>
            <a:effectLst/>
          </c:spPr>
          <c:invertIfNegative val="0"/>
          <c:cat>
            <c:strRef>
              <c:f>PIVOT!$A$25</c:f>
              <c:strCache>
                <c:ptCount val="1"/>
                <c:pt idx="0">
                  <c:v>Grand Total</c:v>
                </c:pt>
              </c:strCache>
            </c:strRef>
          </c:cat>
          <c:val>
            <c:numRef>
              <c:f>PIVOT!$B$25</c:f>
              <c:numCache>
                <c:formatCode>0%</c:formatCode>
                <c:ptCount val="1"/>
              </c:numCache>
            </c:numRef>
          </c:val>
          <c:extLst>
            <c:ext xmlns:c16="http://schemas.microsoft.com/office/drawing/2014/chart" uri="{C3380CC4-5D6E-409C-BE32-E72D297353CC}">
              <c16:uniqueId val="{00000000-2168-4AA7-8867-1470FAC06D42}"/>
            </c:ext>
          </c:extLst>
        </c:ser>
        <c:dLbls>
          <c:showLegendKey val="0"/>
          <c:showVal val="0"/>
          <c:showCatName val="0"/>
          <c:showSerName val="0"/>
          <c:showPercent val="0"/>
          <c:showBubbleSize val="0"/>
        </c:dLbls>
        <c:gapWidth val="219"/>
        <c:overlap val="-27"/>
        <c:axId val="320282848"/>
        <c:axId val="320280104"/>
      </c:barChart>
      <c:catAx>
        <c:axId val="320282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0280104"/>
        <c:crosses val="autoZero"/>
        <c:auto val="1"/>
        <c:lblAlgn val="ctr"/>
        <c:lblOffset val="100"/>
        <c:noMultiLvlLbl val="0"/>
      </c:catAx>
      <c:valAx>
        <c:axId val="3202801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0282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[Tracker de gestion IT Diego Castilllo.xlsm]PIVOT!PivotTable5</c:name>
    <c:fmtId val="1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PIVOT!$B$41:$B$42</c:f>
              <c:strCache>
                <c:ptCount val="1"/>
                <c:pt idx="0">
                  <c:v>Grand Total</c:v>
                </c:pt>
              </c:strCache>
            </c:strRef>
          </c:tx>
          <c:spPr>
            <a:solidFill>
              <a:schemeClr val="accent1"/>
            </a:solidFill>
            <a:ln>
              <a:noFill/>
            </a:ln>
            <a:effectLst/>
          </c:spPr>
          <c:invertIfNegative val="0"/>
          <c:cat>
            <c:strRef>
              <c:f>PIVOT!$A$43</c:f>
              <c:strCache>
                <c:ptCount val="1"/>
                <c:pt idx="0">
                  <c:v>Grand Total</c:v>
                </c:pt>
              </c:strCache>
            </c:strRef>
          </c:cat>
          <c:val>
            <c:numRef>
              <c:f>PIVOT!$B$43</c:f>
              <c:numCache>
                <c:formatCode>0%</c:formatCode>
                <c:ptCount val="1"/>
              </c:numCache>
            </c:numRef>
          </c:val>
          <c:extLst>
            <c:ext xmlns:c16="http://schemas.microsoft.com/office/drawing/2014/chart" uri="{C3380CC4-5D6E-409C-BE32-E72D297353CC}">
              <c16:uniqueId val="{00000000-442E-4A7B-AA6D-868A1AC2C1E3}"/>
            </c:ext>
          </c:extLst>
        </c:ser>
        <c:dLbls>
          <c:showLegendKey val="0"/>
          <c:showVal val="0"/>
          <c:showCatName val="0"/>
          <c:showSerName val="0"/>
          <c:showPercent val="0"/>
          <c:showBubbleSize val="0"/>
        </c:dLbls>
        <c:gapWidth val="219"/>
        <c:overlap val="-27"/>
        <c:axId val="320280888"/>
        <c:axId val="320281280"/>
      </c:barChart>
      <c:catAx>
        <c:axId val="3202808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0281280"/>
        <c:crosses val="autoZero"/>
        <c:auto val="1"/>
        <c:lblAlgn val="ctr"/>
        <c:lblOffset val="100"/>
        <c:noMultiLvlLbl val="0"/>
      </c:catAx>
      <c:valAx>
        <c:axId val="3202812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02808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[Tracker de gestion IT Diego Castilllo.xlsm]PIVOT!PivotTable6</c:name>
    <c:fmtId val="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PIVOT!$B$60:$B$61</c:f>
              <c:strCache>
                <c:ptCount val="1"/>
                <c:pt idx="0">
                  <c:v>Grand Total</c:v>
                </c:pt>
              </c:strCache>
            </c:strRef>
          </c:tx>
          <c:spPr>
            <a:solidFill>
              <a:schemeClr val="accent1"/>
            </a:solidFill>
            <a:ln>
              <a:noFill/>
            </a:ln>
            <a:effectLst/>
          </c:spPr>
          <c:invertIfNegative val="0"/>
          <c:cat>
            <c:strRef>
              <c:f>PIVOT!$A$62</c:f>
              <c:strCache>
                <c:ptCount val="1"/>
                <c:pt idx="0">
                  <c:v>Grand Total</c:v>
                </c:pt>
              </c:strCache>
            </c:strRef>
          </c:cat>
          <c:val>
            <c:numRef>
              <c:f>PIVOT!$B$62</c:f>
              <c:numCache>
                <c:formatCode>0%</c:formatCode>
                <c:ptCount val="1"/>
              </c:numCache>
            </c:numRef>
          </c:val>
          <c:extLst>
            <c:ext xmlns:c16="http://schemas.microsoft.com/office/drawing/2014/chart" uri="{C3380CC4-5D6E-409C-BE32-E72D297353CC}">
              <c16:uniqueId val="{00000000-5A0B-4265-AE41-863D55AD7651}"/>
            </c:ext>
          </c:extLst>
        </c:ser>
        <c:dLbls>
          <c:showLegendKey val="0"/>
          <c:showVal val="0"/>
          <c:showCatName val="0"/>
          <c:showSerName val="0"/>
          <c:showPercent val="0"/>
          <c:showBubbleSize val="0"/>
        </c:dLbls>
        <c:gapWidth val="219"/>
        <c:overlap val="-27"/>
        <c:axId val="373642376"/>
        <c:axId val="373640808"/>
      </c:barChart>
      <c:catAx>
        <c:axId val="373642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40808"/>
        <c:crosses val="autoZero"/>
        <c:auto val="1"/>
        <c:lblAlgn val="ctr"/>
        <c:lblOffset val="100"/>
        <c:noMultiLvlLbl val="0"/>
      </c:catAx>
      <c:valAx>
        <c:axId val="3736408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4237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[Tracker de gestion IT Diego Castilllo.xlsm]PIVOT!PivotTable7</c:name>
    <c:fmtId val="1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PIVOT!$B$79:$B$80</c:f>
              <c:strCache>
                <c:ptCount val="1"/>
                <c:pt idx="0">
                  <c:v>Grand Total</c:v>
                </c:pt>
              </c:strCache>
            </c:strRef>
          </c:tx>
          <c:spPr>
            <a:solidFill>
              <a:schemeClr val="accent1"/>
            </a:solidFill>
            <a:ln>
              <a:noFill/>
            </a:ln>
            <a:effectLst/>
          </c:spPr>
          <c:invertIfNegative val="0"/>
          <c:cat>
            <c:strRef>
              <c:f>PIVOT!$A$81</c:f>
              <c:strCache>
                <c:ptCount val="1"/>
                <c:pt idx="0">
                  <c:v>Grand Total</c:v>
                </c:pt>
              </c:strCache>
            </c:strRef>
          </c:cat>
          <c:val>
            <c:numRef>
              <c:f>PIVOT!$B$81</c:f>
              <c:numCache>
                <c:formatCode>0%</c:formatCode>
                <c:ptCount val="1"/>
              </c:numCache>
            </c:numRef>
          </c:val>
          <c:extLst>
            <c:ext xmlns:c16="http://schemas.microsoft.com/office/drawing/2014/chart" uri="{C3380CC4-5D6E-409C-BE32-E72D297353CC}">
              <c16:uniqueId val="{00000000-666B-4B49-8204-A6977E149D25}"/>
            </c:ext>
          </c:extLst>
        </c:ser>
        <c:dLbls>
          <c:showLegendKey val="0"/>
          <c:showVal val="0"/>
          <c:showCatName val="0"/>
          <c:showSerName val="0"/>
          <c:showPercent val="0"/>
          <c:showBubbleSize val="0"/>
        </c:dLbls>
        <c:gapWidth val="219"/>
        <c:overlap val="-27"/>
        <c:axId val="373638456"/>
        <c:axId val="373639240"/>
      </c:barChart>
      <c:catAx>
        <c:axId val="373638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39240"/>
        <c:crosses val="autoZero"/>
        <c:auto val="1"/>
        <c:lblAlgn val="ctr"/>
        <c:lblOffset val="100"/>
        <c:noMultiLvlLbl val="0"/>
      </c:catAx>
      <c:valAx>
        <c:axId val="37363924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384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[Tracker de gestion IT Diego Castilllo.xlsm]PIVOT!PivotTable4</c:name>
    <c:fmtId val="15"/>
  </c:pivotSource>
  <c:chart>
    <c:title>
      <c:layout>
        <c:manualLayout>
          <c:xMode val="edge"/>
          <c:yMode val="edge"/>
          <c:x val="0.19881574074074074"/>
          <c:y val="6.35000000000000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PIVOT!$B$23:$B$24</c:f>
              <c:strCache>
                <c:ptCount val="1"/>
                <c:pt idx="0">
                  <c:v>Grand Total</c:v>
                </c:pt>
              </c:strCache>
            </c:strRef>
          </c:tx>
          <c:spPr>
            <a:solidFill>
              <a:schemeClr val="accent1"/>
            </a:solidFill>
            <a:ln>
              <a:noFill/>
            </a:ln>
            <a:effectLst/>
          </c:spPr>
          <c:invertIfNegative val="0"/>
          <c:cat>
            <c:strRef>
              <c:f>PIVOT!$A$25</c:f>
              <c:strCache>
                <c:ptCount val="1"/>
                <c:pt idx="0">
                  <c:v>Grand Total</c:v>
                </c:pt>
              </c:strCache>
            </c:strRef>
          </c:cat>
          <c:val>
            <c:numRef>
              <c:f>PIVOT!$B$25</c:f>
              <c:numCache>
                <c:formatCode>0%</c:formatCode>
                <c:ptCount val="1"/>
              </c:numCache>
            </c:numRef>
          </c:val>
          <c:extLst>
            <c:ext xmlns:c16="http://schemas.microsoft.com/office/drawing/2014/chart" uri="{C3380CC4-5D6E-409C-BE32-E72D297353CC}">
              <c16:uniqueId val="{00000000-D33F-4928-A2C4-CFCDA3CC2F1D}"/>
            </c:ext>
          </c:extLst>
        </c:ser>
        <c:dLbls>
          <c:showLegendKey val="0"/>
          <c:showVal val="0"/>
          <c:showCatName val="0"/>
          <c:showSerName val="0"/>
          <c:showPercent val="0"/>
          <c:showBubbleSize val="0"/>
        </c:dLbls>
        <c:gapWidth val="219"/>
        <c:overlap val="-27"/>
        <c:axId val="373637280"/>
        <c:axId val="373644728"/>
      </c:barChart>
      <c:catAx>
        <c:axId val="37363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44728"/>
        <c:crosses val="autoZero"/>
        <c:auto val="1"/>
        <c:lblAlgn val="ctr"/>
        <c:lblOffset val="100"/>
        <c:noMultiLvlLbl val="0"/>
      </c:catAx>
      <c:valAx>
        <c:axId val="3736447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372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alpha val="7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[Tracker de gestion IT Diego Castilllo.xlsm]PIVOT!PivotTable3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PIVOT!$B$5:$B$6</c:f>
              <c:strCache>
                <c:ptCount val="1"/>
                <c:pt idx="0">
                  <c:v>Grand Total</c:v>
                </c:pt>
              </c:strCache>
            </c:strRef>
          </c:tx>
          <c:spPr>
            <a:solidFill>
              <a:schemeClr val="accent1"/>
            </a:solidFill>
            <a:ln>
              <a:noFill/>
            </a:ln>
            <a:effectLst/>
          </c:spPr>
          <c:invertIfNegative val="0"/>
          <c:cat>
            <c:strRef>
              <c:f>PIVOT!$A$7</c:f>
              <c:strCache>
                <c:ptCount val="1"/>
                <c:pt idx="0">
                  <c:v>Grand Total</c:v>
                </c:pt>
              </c:strCache>
            </c:strRef>
          </c:cat>
          <c:val>
            <c:numRef>
              <c:f>PIVOT!$B$7</c:f>
              <c:numCache>
                <c:formatCode>0%</c:formatCode>
                <c:ptCount val="1"/>
              </c:numCache>
            </c:numRef>
          </c:val>
          <c:extLst>
            <c:ext xmlns:c16="http://schemas.microsoft.com/office/drawing/2014/chart" uri="{C3380CC4-5D6E-409C-BE32-E72D297353CC}">
              <c16:uniqueId val="{00000000-2597-424C-8E5E-7B7C8BA44C6A}"/>
            </c:ext>
          </c:extLst>
        </c:ser>
        <c:dLbls>
          <c:showLegendKey val="0"/>
          <c:showVal val="0"/>
          <c:showCatName val="0"/>
          <c:showSerName val="0"/>
          <c:showPercent val="0"/>
          <c:showBubbleSize val="0"/>
        </c:dLbls>
        <c:gapWidth val="219"/>
        <c:overlap val="-27"/>
        <c:axId val="373637672"/>
        <c:axId val="373640024"/>
      </c:barChart>
      <c:catAx>
        <c:axId val="3736376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40024"/>
        <c:crosses val="autoZero"/>
        <c:auto val="1"/>
        <c:lblAlgn val="ctr"/>
        <c:lblOffset val="100"/>
        <c:noMultiLvlLbl val="0"/>
      </c:catAx>
      <c:valAx>
        <c:axId val="37364002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376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[Tracker de gestion IT Diego Castilllo.xlsm]PIVOT!PivotTable4</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PIVOT!$B$23:$B$24</c:f>
              <c:strCache>
                <c:ptCount val="1"/>
                <c:pt idx="0">
                  <c:v>Grand Total</c:v>
                </c:pt>
              </c:strCache>
            </c:strRef>
          </c:tx>
          <c:spPr>
            <a:solidFill>
              <a:schemeClr val="accent1"/>
            </a:solidFill>
            <a:ln>
              <a:noFill/>
            </a:ln>
            <a:effectLst/>
          </c:spPr>
          <c:invertIfNegative val="0"/>
          <c:cat>
            <c:strRef>
              <c:f>PIVOT!$A$25</c:f>
              <c:strCache>
                <c:ptCount val="1"/>
                <c:pt idx="0">
                  <c:v>Grand Total</c:v>
                </c:pt>
              </c:strCache>
            </c:strRef>
          </c:cat>
          <c:val>
            <c:numRef>
              <c:f>PIVOT!$B$25</c:f>
              <c:numCache>
                <c:formatCode>0%</c:formatCode>
                <c:ptCount val="1"/>
              </c:numCache>
            </c:numRef>
          </c:val>
          <c:extLst>
            <c:ext xmlns:c16="http://schemas.microsoft.com/office/drawing/2014/chart" uri="{C3380CC4-5D6E-409C-BE32-E72D297353CC}">
              <c16:uniqueId val="{00000000-022B-467B-A92D-0BEBAB25BE3F}"/>
            </c:ext>
          </c:extLst>
        </c:ser>
        <c:dLbls>
          <c:showLegendKey val="0"/>
          <c:showVal val="0"/>
          <c:showCatName val="0"/>
          <c:showSerName val="0"/>
          <c:showPercent val="0"/>
          <c:showBubbleSize val="0"/>
        </c:dLbls>
        <c:gapWidth val="219"/>
        <c:overlap val="-27"/>
        <c:axId val="373638064"/>
        <c:axId val="373638848"/>
      </c:barChart>
      <c:catAx>
        <c:axId val="37363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38848"/>
        <c:crosses val="autoZero"/>
        <c:auto val="1"/>
        <c:lblAlgn val="ctr"/>
        <c:lblOffset val="100"/>
        <c:noMultiLvlLbl val="0"/>
      </c:catAx>
      <c:valAx>
        <c:axId val="3736388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36380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[Tracker de gestion IT Diego Castilllo.xlsm]PIVOT!PivotTable5</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PIVOT!$B$41:$B$42</c:f>
              <c:strCache>
                <c:ptCount val="1"/>
                <c:pt idx="0">
                  <c:v>Grand Total</c:v>
                </c:pt>
              </c:strCache>
            </c:strRef>
          </c:tx>
          <c:spPr>
            <a:solidFill>
              <a:schemeClr val="accent1"/>
            </a:solidFill>
            <a:ln>
              <a:noFill/>
            </a:ln>
            <a:effectLst/>
          </c:spPr>
          <c:invertIfNegative val="0"/>
          <c:cat>
            <c:strRef>
              <c:f>PIVOT!$A$43</c:f>
              <c:strCache>
                <c:ptCount val="1"/>
                <c:pt idx="0">
                  <c:v>Grand Total</c:v>
                </c:pt>
              </c:strCache>
            </c:strRef>
          </c:cat>
          <c:val>
            <c:numRef>
              <c:f>PIVOT!$B$43</c:f>
              <c:numCache>
                <c:formatCode>0%</c:formatCode>
                <c:ptCount val="1"/>
              </c:numCache>
            </c:numRef>
          </c:val>
          <c:extLst>
            <c:ext xmlns:c16="http://schemas.microsoft.com/office/drawing/2014/chart" uri="{C3380CC4-5D6E-409C-BE32-E72D297353CC}">
              <c16:uniqueId val="{00000000-FE64-4E8D-9354-DDEE0D8A1488}"/>
            </c:ext>
          </c:extLst>
        </c:ser>
        <c:dLbls>
          <c:showLegendKey val="0"/>
          <c:showVal val="0"/>
          <c:showCatName val="0"/>
          <c:showSerName val="0"/>
          <c:showPercent val="0"/>
          <c:showBubbleSize val="0"/>
        </c:dLbls>
        <c:gapWidth val="219"/>
        <c:overlap val="-27"/>
        <c:axId val="371917024"/>
        <c:axId val="371915456"/>
      </c:barChart>
      <c:catAx>
        <c:axId val="371917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915456"/>
        <c:crosses val="autoZero"/>
        <c:auto val="1"/>
        <c:lblAlgn val="ctr"/>
        <c:lblOffset val="100"/>
        <c:noMultiLvlLbl val="0"/>
      </c:catAx>
      <c:valAx>
        <c:axId val="37191545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917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[Tracker de gestion IT Diego Castilllo.xlsm]PIVOT!PivotTable6</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PIVOT!$B$60:$B$61</c:f>
              <c:strCache>
                <c:ptCount val="1"/>
                <c:pt idx="0">
                  <c:v>Grand Total</c:v>
                </c:pt>
              </c:strCache>
            </c:strRef>
          </c:tx>
          <c:spPr>
            <a:solidFill>
              <a:schemeClr val="accent1"/>
            </a:solidFill>
            <a:ln>
              <a:noFill/>
            </a:ln>
            <a:effectLst/>
          </c:spPr>
          <c:invertIfNegative val="0"/>
          <c:cat>
            <c:strRef>
              <c:f>PIVOT!$A$62</c:f>
              <c:strCache>
                <c:ptCount val="1"/>
                <c:pt idx="0">
                  <c:v>Grand Total</c:v>
                </c:pt>
              </c:strCache>
            </c:strRef>
          </c:cat>
          <c:val>
            <c:numRef>
              <c:f>PIVOT!$B$62</c:f>
              <c:numCache>
                <c:formatCode>0%</c:formatCode>
                <c:ptCount val="1"/>
              </c:numCache>
            </c:numRef>
          </c:val>
          <c:extLst>
            <c:ext xmlns:c16="http://schemas.microsoft.com/office/drawing/2014/chart" uri="{C3380CC4-5D6E-409C-BE32-E72D297353CC}">
              <c16:uniqueId val="{00000000-2605-486F-8AF1-B039AAF10F8B}"/>
            </c:ext>
          </c:extLst>
        </c:ser>
        <c:dLbls>
          <c:showLegendKey val="0"/>
          <c:showVal val="0"/>
          <c:showCatName val="0"/>
          <c:showSerName val="0"/>
          <c:showPercent val="0"/>
          <c:showBubbleSize val="0"/>
        </c:dLbls>
        <c:gapWidth val="219"/>
        <c:overlap val="-27"/>
        <c:axId val="371915848"/>
        <c:axId val="371922904"/>
      </c:barChart>
      <c:catAx>
        <c:axId val="371915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922904"/>
        <c:crosses val="autoZero"/>
        <c:auto val="1"/>
        <c:lblAlgn val="ctr"/>
        <c:lblOffset val="100"/>
        <c:noMultiLvlLbl val="0"/>
      </c:catAx>
      <c:valAx>
        <c:axId val="3719229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9158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[Tracker de gestion IT Diego Castilllo.xlsm]PIVOT!PivotTable7</c:name>
    <c:fmtId val="6"/>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PIVOT!$B$79:$B$80</c:f>
              <c:strCache>
                <c:ptCount val="1"/>
                <c:pt idx="0">
                  <c:v>Grand Total</c:v>
                </c:pt>
              </c:strCache>
            </c:strRef>
          </c:tx>
          <c:spPr>
            <a:solidFill>
              <a:schemeClr val="accent1"/>
            </a:solidFill>
            <a:ln>
              <a:noFill/>
            </a:ln>
            <a:effectLst/>
          </c:spPr>
          <c:invertIfNegative val="0"/>
          <c:cat>
            <c:strRef>
              <c:f>PIVOT!$A$81</c:f>
              <c:strCache>
                <c:ptCount val="1"/>
                <c:pt idx="0">
                  <c:v>Grand Total</c:v>
                </c:pt>
              </c:strCache>
            </c:strRef>
          </c:cat>
          <c:val>
            <c:numRef>
              <c:f>PIVOT!$B$81</c:f>
              <c:numCache>
                <c:formatCode>0%</c:formatCode>
                <c:ptCount val="1"/>
              </c:numCache>
            </c:numRef>
          </c:val>
          <c:extLst>
            <c:ext xmlns:c16="http://schemas.microsoft.com/office/drawing/2014/chart" uri="{C3380CC4-5D6E-409C-BE32-E72D297353CC}">
              <c16:uniqueId val="{00000000-099A-4895-8B55-3434AA6A597E}"/>
            </c:ext>
          </c:extLst>
        </c:ser>
        <c:dLbls>
          <c:showLegendKey val="0"/>
          <c:showVal val="0"/>
          <c:showCatName val="0"/>
          <c:showSerName val="0"/>
          <c:showPercent val="0"/>
          <c:showBubbleSize val="0"/>
        </c:dLbls>
        <c:gapWidth val="219"/>
        <c:overlap val="-27"/>
        <c:axId val="371919768"/>
        <c:axId val="371916240"/>
      </c:barChart>
      <c:catAx>
        <c:axId val="371919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916240"/>
        <c:crosses val="autoZero"/>
        <c:auto val="1"/>
        <c:lblAlgn val="ctr"/>
        <c:lblOffset val="100"/>
        <c:noMultiLvlLbl val="0"/>
      </c:catAx>
      <c:valAx>
        <c:axId val="37191624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919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[Tracker de gestion IT Diego Castilllo.xlsm]PIVOT!PivotTable8</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PIVOT!$B$98:$B$99</c:f>
              <c:strCache>
                <c:ptCount val="1"/>
                <c:pt idx="0">
                  <c:v>Grand Total</c:v>
                </c:pt>
              </c:strCache>
            </c:strRef>
          </c:tx>
          <c:spPr>
            <a:solidFill>
              <a:schemeClr val="accent1"/>
            </a:solidFill>
            <a:ln>
              <a:noFill/>
            </a:ln>
            <a:effectLst/>
          </c:spPr>
          <c:invertIfNegative val="0"/>
          <c:cat>
            <c:strRef>
              <c:f>PIVOT!$A$100</c:f>
              <c:strCache>
                <c:ptCount val="1"/>
                <c:pt idx="0">
                  <c:v>Grand Total</c:v>
                </c:pt>
              </c:strCache>
            </c:strRef>
          </c:cat>
          <c:val>
            <c:numRef>
              <c:f>PIVOT!$B$100</c:f>
              <c:numCache>
                <c:formatCode>0%</c:formatCode>
                <c:ptCount val="1"/>
              </c:numCache>
            </c:numRef>
          </c:val>
          <c:extLst>
            <c:ext xmlns:c16="http://schemas.microsoft.com/office/drawing/2014/chart" uri="{C3380CC4-5D6E-409C-BE32-E72D297353CC}">
              <c16:uniqueId val="{00000000-7B68-45F6-B999-7985533A4A71}"/>
            </c:ext>
          </c:extLst>
        </c:ser>
        <c:dLbls>
          <c:showLegendKey val="0"/>
          <c:showVal val="0"/>
          <c:showCatName val="0"/>
          <c:showSerName val="0"/>
          <c:showPercent val="0"/>
          <c:showBubbleSize val="0"/>
        </c:dLbls>
        <c:gapWidth val="219"/>
        <c:overlap val="-27"/>
        <c:axId val="371918200"/>
        <c:axId val="371918592"/>
      </c:barChart>
      <c:catAx>
        <c:axId val="371918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918592"/>
        <c:crosses val="autoZero"/>
        <c:auto val="1"/>
        <c:lblAlgn val="ctr"/>
        <c:lblOffset val="100"/>
        <c:noMultiLvlLbl val="0"/>
      </c:catAx>
      <c:valAx>
        <c:axId val="3719185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9182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[Tracker de gestion IT Diego Castilllo.xlsm]PIVOT!PivotTable9</c:name>
    <c:fmtId val="8"/>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PIVOT!$B$117:$B$118</c:f>
              <c:strCache>
                <c:ptCount val="1"/>
                <c:pt idx="0">
                  <c:v>Grand Total</c:v>
                </c:pt>
              </c:strCache>
            </c:strRef>
          </c:tx>
          <c:spPr>
            <a:solidFill>
              <a:schemeClr val="accent1"/>
            </a:solidFill>
            <a:ln>
              <a:noFill/>
            </a:ln>
            <a:effectLst/>
          </c:spPr>
          <c:invertIfNegative val="0"/>
          <c:cat>
            <c:strRef>
              <c:f>PIVOT!$A$119</c:f>
              <c:strCache>
                <c:ptCount val="1"/>
                <c:pt idx="0">
                  <c:v>Grand Total</c:v>
                </c:pt>
              </c:strCache>
            </c:strRef>
          </c:cat>
          <c:val>
            <c:numRef>
              <c:f>PIVOT!$B$119</c:f>
              <c:numCache>
                <c:formatCode>0%</c:formatCode>
                <c:ptCount val="1"/>
              </c:numCache>
            </c:numRef>
          </c:val>
          <c:extLst>
            <c:ext xmlns:c16="http://schemas.microsoft.com/office/drawing/2014/chart" uri="{C3380CC4-5D6E-409C-BE32-E72D297353CC}">
              <c16:uniqueId val="{00000000-2090-4720-A106-96F356B0F9C7}"/>
            </c:ext>
          </c:extLst>
        </c:ser>
        <c:dLbls>
          <c:showLegendKey val="0"/>
          <c:showVal val="0"/>
          <c:showCatName val="0"/>
          <c:showSerName val="0"/>
          <c:showPercent val="0"/>
          <c:showBubbleSize val="0"/>
        </c:dLbls>
        <c:gapWidth val="219"/>
        <c:overlap val="-27"/>
        <c:axId val="371921336"/>
        <c:axId val="371921728"/>
      </c:barChart>
      <c:catAx>
        <c:axId val="371921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921728"/>
        <c:crosses val="autoZero"/>
        <c:auto val="1"/>
        <c:lblAlgn val="ctr"/>
        <c:lblOffset val="100"/>
        <c:noMultiLvlLbl val="0"/>
      </c:catAx>
      <c:valAx>
        <c:axId val="37192172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9213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[Tracker de gestion IT Diego Castilllo.xlsm]PIVOT!PivotTable10</c:name>
    <c:fmtId val="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PIVOT!$B$136:$B$137</c:f>
              <c:strCache>
                <c:ptCount val="1"/>
                <c:pt idx="0">
                  <c:v>Grand Total</c:v>
                </c:pt>
              </c:strCache>
            </c:strRef>
          </c:tx>
          <c:spPr>
            <a:solidFill>
              <a:schemeClr val="accent1"/>
            </a:solidFill>
            <a:ln>
              <a:noFill/>
            </a:ln>
            <a:effectLst/>
          </c:spPr>
          <c:invertIfNegative val="0"/>
          <c:cat>
            <c:strRef>
              <c:f>PIVOT!$A$138</c:f>
              <c:strCache>
                <c:ptCount val="1"/>
                <c:pt idx="0">
                  <c:v>Grand Total</c:v>
                </c:pt>
              </c:strCache>
            </c:strRef>
          </c:cat>
          <c:val>
            <c:numRef>
              <c:f>PIVOT!$B$138</c:f>
              <c:numCache>
                <c:formatCode>0%</c:formatCode>
                <c:ptCount val="1"/>
              </c:numCache>
            </c:numRef>
          </c:val>
          <c:extLst>
            <c:ext xmlns:c16="http://schemas.microsoft.com/office/drawing/2014/chart" uri="{C3380CC4-5D6E-409C-BE32-E72D297353CC}">
              <c16:uniqueId val="{00000000-613C-4DFC-AA01-9DF40C7E6C06}"/>
            </c:ext>
          </c:extLst>
        </c:ser>
        <c:dLbls>
          <c:showLegendKey val="0"/>
          <c:showVal val="0"/>
          <c:showCatName val="0"/>
          <c:showSerName val="0"/>
          <c:showPercent val="0"/>
          <c:showBubbleSize val="0"/>
        </c:dLbls>
        <c:gapWidth val="219"/>
        <c:overlap val="-27"/>
        <c:axId val="375428704"/>
        <c:axId val="375428312"/>
      </c:barChart>
      <c:catAx>
        <c:axId val="375428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5428312"/>
        <c:crosses val="autoZero"/>
        <c:auto val="1"/>
        <c:lblAlgn val="ctr"/>
        <c:lblOffset val="100"/>
        <c:noMultiLvlLbl val="0"/>
      </c:catAx>
      <c:valAx>
        <c:axId val="3754283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542870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[Tracker de gestion IT Diego Castilllo.xlsm]PIVOT!PivotTable11</c:name>
    <c:fmtId val="1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PIVOT!$B$155:$B$156</c:f>
              <c:strCache>
                <c:ptCount val="1"/>
                <c:pt idx="0">
                  <c:v>Grand Total</c:v>
                </c:pt>
              </c:strCache>
            </c:strRef>
          </c:tx>
          <c:spPr>
            <a:solidFill>
              <a:schemeClr val="accent1"/>
            </a:solidFill>
            <a:ln>
              <a:noFill/>
            </a:ln>
            <a:effectLst/>
          </c:spPr>
          <c:invertIfNegative val="0"/>
          <c:cat>
            <c:strRef>
              <c:f>PIVOT!$A$157</c:f>
              <c:strCache>
                <c:ptCount val="1"/>
                <c:pt idx="0">
                  <c:v>Grand Total</c:v>
                </c:pt>
              </c:strCache>
            </c:strRef>
          </c:cat>
          <c:val>
            <c:numRef>
              <c:f>PIVOT!$B$157</c:f>
              <c:numCache>
                <c:formatCode>0%</c:formatCode>
                <c:ptCount val="1"/>
              </c:numCache>
            </c:numRef>
          </c:val>
          <c:extLst>
            <c:ext xmlns:c16="http://schemas.microsoft.com/office/drawing/2014/chart" uri="{C3380CC4-5D6E-409C-BE32-E72D297353CC}">
              <c16:uniqueId val="{00000000-FFCD-48DA-8DDB-E8E9246D9858}"/>
            </c:ext>
          </c:extLst>
        </c:ser>
        <c:dLbls>
          <c:showLegendKey val="0"/>
          <c:showVal val="0"/>
          <c:showCatName val="0"/>
          <c:showSerName val="0"/>
          <c:showPercent val="0"/>
          <c:showBubbleSize val="0"/>
        </c:dLbls>
        <c:gapWidth val="219"/>
        <c:overlap val="-27"/>
        <c:axId val="375426744"/>
        <c:axId val="375424000"/>
      </c:barChart>
      <c:catAx>
        <c:axId val="375426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5424000"/>
        <c:crosses val="autoZero"/>
        <c:auto val="1"/>
        <c:lblAlgn val="ctr"/>
        <c:lblOffset val="100"/>
        <c:noMultiLvlLbl val="0"/>
      </c:catAx>
      <c:valAx>
        <c:axId val="3754240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5426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chart" Target="../charts/chart9.xml"/><Relationship Id="rId7" Type="http://schemas.openxmlformats.org/officeDocument/2006/relationships/chart" Target="../charts/chart13.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209550</xdr:colOff>
      <xdr:row>4</xdr:row>
      <xdr:rowOff>121166</xdr:rowOff>
    </xdr:to>
    <xdr:pic>
      <xdr:nvPicPr>
        <xdr:cNvPr id="3" name="Picture 2">
          <a:extLst>
            <a:ext uri="{FF2B5EF4-FFF2-40B4-BE49-F238E27FC236}">
              <a16:creationId xmlns:a16="http://schemas.microsoft.com/office/drawing/2014/main" id="{B9A64D77-63B4-4C44-8EB0-612B51D1F4B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2266950" cy="883166"/>
        </a:xfrm>
        <a:prstGeom prst="rect">
          <a:avLst/>
        </a:prstGeom>
      </xdr:spPr>
    </xdr:pic>
    <xdr:clientData/>
  </xdr:twoCellAnchor>
  <xdr:twoCellAnchor>
    <xdr:from>
      <xdr:col>5</xdr:col>
      <xdr:colOff>47625</xdr:colOff>
      <xdr:row>0</xdr:row>
      <xdr:rowOff>161925</xdr:rowOff>
    </xdr:from>
    <xdr:to>
      <xdr:col>17</xdr:col>
      <xdr:colOff>504825</xdr:colOff>
      <xdr:row>3</xdr:row>
      <xdr:rowOff>161925</xdr:rowOff>
    </xdr:to>
    <xdr:grpSp>
      <xdr:nvGrpSpPr>
        <xdr:cNvPr id="8" name="Group 7">
          <a:extLst>
            <a:ext uri="{FF2B5EF4-FFF2-40B4-BE49-F238E27FC236}">
              <a16:creationId xmlns:a16="http://schemas.microsoft.com/office/drawing/2014/main" id="{C7B9B5F3-FC72-4D09-8B08-6DFCDB48A538}"/>
            </a:ext>
          </a:extLst>
        </xdr:cNvPr>
        <xdr:cNvGrpSpPr/>
      </xdr:nvGrpSpPr>
      <xdr:grpSpPr>
        <a:xfrm>
          <a:off x="2619375" y="161925"/>
          <a:ext cx="6943725" cy="571500"/>
          <a:chOff x="3171825" y="95250"/>
          <a:chExt cx="6629400" cy="571500"/>
        </a:xfrm>
      </xdr:grpSpPr>
      <xdr:sp macro="" textlink="">
        <xdr:nvSpPr>
          <xdr:cNvPr id="5" name="Rectangle 4">
            <a:extLst>
              <a:ext uri="{FF2B5EF4-FFF2-40B4-BE49-F238E27FC236}">
                <a16:creationId xmlns:a16="http://schemas.microsoft.com/office/drawing/2014/main" id="{D35D3851-4D09-4F60-92A6-E296DD0F24DA}"/>
              </a:ext>
            </a:extLst>
          </xdr:cNvPr>
          <xdr:cNvSpPr/>
        </xdr:nvSpPr>
        <xdr:spPr>
          <a:xfrm>
            <a:off x="3183075" y="95250"/>
            <a:ext cx="6515100" cy="571500"/>
          </a:xfrm>
          <a:prstGeom prst="rect">
            <a:avLst/>
          </a:prstGeom>
          <a:solidFill>
            <a:schemeClr val="tx1">
              <a:lumMod val="65000"/>
              <a:lumOff val="3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b="1">
                <a:latin typeface="Bahnschrift SemiBold" panose="020B0502040204020203" pitchFamily="34" charset="0"/>
              </a:rPr>
              <a:t>INFORME DE GESTION </a:t>
            </a:r>
            <a:r>
              <a:rPr lang="en-US" sz="1800" b="1">
                <a:solidFill>
                  <a:schemeClr val="bg1"/>
                </a:solidFill>
                <a:latin typeface="Bahnschrift SemiBold" panose="020B0502040204020203" pitchFamily="34" charset="0"/>
              </a:rPr>
              <a:t>IT-BOGOTA</a:t>
            </a:r>
            <a:endParaRPr lang="en-US" sz="1800" b="1" baseline="0">
              <a:solidFill>
                <a:schemeClr val="bg1"/>
              </a:solidFill>
              <a:latin typeface="Bahnschrift SemiBold" panose="020B0502040204020203" pitchFamily="34" charset="0"/>
            </a:endParaRPr>
          </a:p>
        </xdr:txBody>
      </xdr:sp>
      <xdr:sp macro="" textlink="">
        <xdr:nvSpPr>
          <xdr:cNvPr id="6" name="Rectangle 5">
            <a:extLst>
              <a:ext uri="{FF2B5EF4-FFF2-40B4-BE49-F238E27FC236}">
                <a16:creationId xmlns:a16="http://schemas.microsoft.com/office/drawing/2014/main" id="{4D6B0275-5086-4621-86AB-19C6FB193CF3}"/>
              </a:ext>
            </a:extLst>
          </xdr:cNvPr>
          <xdr:cNvSpPr/>
        </xdr:nvSpPr>
        <xdr:spPr>
          <a:xfrm>
            <a:off x="3171825" y="161925"/>
            <a:ext cx="95250" cy="419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a:extLst>
              <a:ext uri="{FF2B5EF4-FFF2-40B4-BE49-F238E27FC236}">
                <a16:creationId xmlns:a16="http://schemas.microsoft.com/office/drawing/2014/main" id="{E6D5C60F-94D3-4DA9-9EC2-DE4F69483AA1}"/>
              </a:ext>
            </a:extLst>
          </xdr:cNvPr>
          <xdr:cNvSpPr/>
        </xdr:nvSpPr>
        <xdr:spPr>
          <a:xfrm>
            <a:off x="9705975" y="161925"/>
            <a:ext cx="95250" cy="419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18</xdr:col>
      <xdr:colOff>438151</xdr:colOff>
      <xdr:row>0</xdr:row>
      <xdr:rowOff>95250</xdr:rowOff>
    </xdr:from>
    <xdr:to>
      <xdr:col>25</xdr:col>
      <xdr:colOff>428626</xdr:colOff>
      <xdr:row>31</xdr:row>
      <xdr:rowOff>28575</xdr:rowOff>
    </xdr:to>
    <xdr:sp macro="" textlink="" fLocksText="0">
      <xdr:nvSpPr>
        <xdr:cNvPr id="2" name="TextBox 1">
          <a:extLst>
            <a:ext uri="{FF2B5EF4-FFF2-40B4-BE49-F238E27FC236}">
              <a16:creationId xmlns:a16="http://schemas.microsoft.com/office/drawing/2014/main" id="{F3ECDEB3-03CB-4988-9975-DBED102D782E}"/>
            </a:ext>
          </a:extLst>
        </xdr:cNvPr>
        <xdr:cNvSpPr txBox="1"/>
      </xdr:nvSpPr>
      <xdr:spPr>
        <a:xfrm>
          <a:off x="10010776" y="95250"/>
          <a:ext cx="3162300" cy="6381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t>Analisis</a:t>
          </a:r>
        </a:p>
        <a:p>
          <a:endParaRPr lang="en-US" sz="1100"/>
        </a:p>
        <a:p>
          <a:r>
            <a:rPr lang="en-US" sz="900" b="1"/>
            <a:t>Enero:No tengo ninguna observacion</a:t>
          </a:r>
          <a:endParaRPr lang="en-US" sz="900" baseline="0"/>
        </a:p>
        <a:p>
          <a:pPr marL="0" marR="0" lvl="0" indent="0" defTabSz="914400" eaLnBrk="1" fontAlgn="auto" latinLnBrk="0" hangingPunct="1">
            <a:lnSpc>
              <a:spcPct val="100000"/>
            </a:lnSpc>
            <a:spcBef>
              <a:spcPts val="0"/>
            </a:spcBef>
            <a:spcAft>
              <a:spcPts val="0"/>
            </a:spcAft>
            <a:buClrTx/>
            <a:buSzTx/>
            <a:buFontTx/>
            <a:buNone/>
            <a:tabLst/>
            <a:defRPr/>
          </a:pPr>
          <a:r>
            <a:rPr lang="en-US" sz="900" b="1">
              <a:solidFill>
                <a:schemeClr val="dk1"/>
              </a:solidFill>
              <a:effectLst/>
              <a:latin typeface="+mn-lt"/>
              <a:ea typeface="+mn-ea"/>
              <a:cs typeface="+mn-cs"/>
            </a:rPr>
            <a:t>Febrero: </a:t>
          </a:r>
          <a:r>
            <a:rPr lang="en-US" sz="1100" b="1">
              <a:solidFill>
                <a:schemeClr val="dk1"/>
              </a:solidFill>
              <a:effectLst/>
              <a:latin typeface="+mn-lt"/>
              <a:ea typeface="+mn-ea"/>
              <a:cs typeface="+mn-cs"/>
            </a:rPr>
            <a:t>No tengo ninguna observacion</a:t>
          </a:r>
          <a:endParaRPr lang="en-US" sz="900" b="1">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900" b="1"/>
            <a:t>Marzo: </a:t>
          </a:r>
        </a:p>
        <a:p>
          <a:pPr marL="0" marR="0" lvl="0" indent="0" defTabSz="914400" eaLnBrk="1" fontAlgn="auto" latinLnBrk="0" hangingPunct="1">
            <a:lnSpc>
              <a:spcPct val="100000"/>
            </a:lnSpc>
            <a:spcBef>
              <a:spcPts val="0"/>
            </a:spcBef>
            <a:spcAft>
              <a:spcPts val="0"/>
            </a:spcAft>
            <a:buClrTx/>
            <a:buSzTx/>
            <a:buFontTx/>
            <a:buNone/>
            <a:tabLst/>
            <a:defRPr/>
          </a:pPr>
          <a:r>
            <a:rPr lang="en-US" sz="900" b="1"/>
            <a:t>Mayo:</a:t>
          </a:r>
        </a:p>
        <a:p>
          <a:r>
            <a:rPr lang="en-US" sz="900" b="1"/>
            <a:t>Junio:</a:t>
          </a:r>
        </a:p>
        <a:p>
          <a:r>
            <a:rPr lang="en-US" sz="900" b="1"/>
            <a:t>Julio:</a:t>
          </a:r>
        </a:p>
        <a:p>
          <a:r>
            <a:rPr lang="en-US" sz="900" b="1"/>
            <a:t>Agosto:</a:t>
          </a:r>
        </a:p>
        <a:p>
          <a:r>
            <a:rPr lang="en-US" sz="900" b="1"/>
            <a:t>Septiembre:</a:t>
          </a:r>
        </a:p>
        <a:p>
          <a:r>
            <a:rPr lang="en-US" sz="900" b="1"/>
            <a:t>Octubre:</a:t>
          </a:r>
        </a:p>
        <a:p>
          <a:r>
            <a:rPr lang="en-US" sz="900" b="1"/>
            <a:t>Noviembre:</a:t>
          </a:r>
        </a:p>
        <a:p>
          <a:r>
            <a:rPr lang="en-US" sz="900" b="1"/>
            <a:t>Diciembre:</a:t>
          </a:r>
        </a:p>
        <a:p>
          <a:endParaRPr lang="en-US" sz="900" b="1"/>
        </a:p>
      </xdr:txBody>
    </xdr:sp>
    <xdr:clientData/>
  </xdr:twoCellAnchor>
  <xdr:twoCellAnchor>
    <xdr:from>
      <xdr:col>0</xdr:col>
      <xdr:colOff>76200</xdr:colOff>
      <xdr:row>5</xdr:row>
      <xdr:rowOff>9525</xdr:rowOff>
    </xdr:from>
    <xdr:to>
      <xdr:col>6</xdr:col>
      <xdr:colOff>230100</xdr:colOff>
      <xdr:row>14</xdr:row>
      <xdr:rowOff>95025</xdr:rowOff>
    </xdr:to>
    <xdr:graphicFrame macro="">
      <xdr:nvGraphicFramePr>
        <xdr:cNvPr id="35" name="Chart 34">
          <a:extLst>
            <a:ext uri="{FF2B5EF4-FFF2-40B4-BE49-F238E27FC236}">
              <a16:creationId xmlns:a16="http://schemas.microsoft.com/office/drawing/2014/main" id="{420CE308-4B1C-478C-9BF9-3D99496964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295275</xdr:colOff>
      <xdr:row>21</xdr:row>
      <xdr:rowOff>9525</xdr:rowOff>
    </xdr:from>
    <xdr:to>
      <xdr:col>10</xdr:col>
      <xdr:colOff>285750</xdr:colOff>
      <xdr:row>21</xdr:row>
      <xdr:rowOff>9525</xdr:rowOff>
    </xdr:to>
    <xdr:graphicFrame macro="">
      <xdr:nvGraphicFramePr>
        <xdr:cNvPr id="36" name="Chart 35">
          <a:extLst>
            <a:ext uri="{FF2B5EF4-FFF2-40B4-BE49-F238E27FC236}">
              <a16:creationId xmlns:a16="http://schemas.microsoft.com/office/drawing/2014/main" id="{4655B31F-B65A-4804-BE02-8EF8F524FD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9525</xdr:colOff>
      <xdr:row>5</xdr:row>
      <xdr:rowOff>9525</xdr:rowOff>
    </xdr:from>
    <xdr:to>
      <xdr:col>18</xdr:col>
      <xdr:colOff>315825</xdr:colOff>
      <xdr:row>14</xdr:row>
      <xdr:rowOff>95025</xdr:rowOff>
    </xdr:to>
    <xdr:graphicFrame macro="">
      <xdr:nvGraphicFramePr>
        <xdr:cNvPr id="38" name="Chart 37">
          <a:extLst>
            <a:ext uri="{FF2B5EF4-FFF2-40B4-BE49-F238E27FC236}">
              <a16:creationId xmlns:a16="http://schemas.microsoft.com/office/drawing/2014/main" id="{BD2198C5-8297-453B-8B57-557BBE870A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76200</xdr:colOff>
      <xdr:row>14</xdr:row>
      <xdr:rowOff>152513</xdr:rowOff>
    </xdr:from>
    <xdr:to>
      <xdr:col>6</xdr:col>
      <xdr:colOff>230100</xdr:colOff>
      <xdr:row>24</xdr:row>
      <xdr:rowOff>47513</xdr:rowOff>
    </xdr:to>
    <xdr:graphicFrame macro="">
      <xdr:nvGraphicFramePr>
        <xdr:cNvPr id="39" name="Chart 38">
          <a:extLst>
            <a:ext uri="{FF2B5EF4-FFF2-40B4-BE49-F238E27FC236}">
              <a16:creationId xmlns:a16="http://schemas.microsoft.com/office/drawing/2014/main" id="{50317192-D8EC-4417-BCA2-26D10FC1DD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276225</xdr:colOff>
      <xdr:row>14</xdr:row>
      <xdr:rowOff>152513</xdr:rowOff>
    </xdr:from>
    <xdr:to>
      <xdr:col>12</xdr:col>
      <xdr:colOff>477750</xdr:colOff>
      <xdr:row>24</xdr:row>
      <xdr:rowOff>47513</xdr:rowOff>
    </xdr:to>
    <xdr:graphicFrame macro="">
      <xdr:nvGraphicFramePr>
        <xdr:cNvPr id="40" name="Chart 39">
          <a:extLst>
            <a:ext uri="{FF2B5EF4-FFF2-40B4-BE49-F238E27FC236}">
              <a16:creationId xmlns:a16="http://schemas.microsoft.com/office/drawing/2014/main" id="{EC119024-D5A2-48EA-A4CD-DD1D621F16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276225</xdr:colOff>
      <xdr:row>5</xdr:row>
      <xdr:rowOff>9525</xdr:rowOff>
    </xdr:from>
    <xdr:to>
      <xdr:col>12</xdr:col>
      <xdr:colOff>477750</xdr:colOff>
      <xdr:row>14</xdr:row>
      <xdr:rowOff>95025</xdr:rowOff>
    </xdr:to>
    <xdr:graphicFrame macro="">
      <xdr:nvGraphicFramePr>
        <xdr:cNvPr id="18" name="Chart 17">
          <a:extLst>
            <a:ext uri="{FF2B5EF4-FFF2-40B4-BE49-F238E27FC236}">
              <a16:creationId xmlns:a16="http://schemas.microsoft.com/office/drawing/2014/main" id="{D69C8C6B-F1EF-43EB-BB97-138FCD01C2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18</xdr:col>
      <xdr:colOff>0</xdr:colOff>
      <xdr:row>1</xdr:row>
      <xdr:rowOff>0</xdr:rowOff>
    </xdr:from>
    <xdr:to>
      <xdr:col>18</xdr:col>
      <xdr:colOff>152400</xdr:colOff>
      <xdr:row>1</xdr:row>
      <xdr:rowOff>152400</xdr:rowOff>
    </xdr:to>
    <xdr:sp macro="" textlink="">
      <xdr:nvSpPr>
        <xdr:cNvPr id="2" name="dimg_21" descr="Ícono de validado por la comunidad">
          <a:extLst>
            <a:ext uri="{FF2B5EF4-FFF2-40B4-BE49-F238E27FC236}">
              <a16:creationId xmlns:a16="http://schemas.microsoft.com/office/drawing/2014/main" id="{D1088AFA-0DC9-4672-AD55-E9ABFAEBBC5D}"/>
            </a:ext>
          </a:extLst>
        </xdr:cNvPr>
        <xdr:cNvSpPr>
          <a:spLocks noChangeAspect="1" noChangeArrowheads="1"/>
        </xdr:cNvSpPr>
      </xdr:nvSpPr>
      <xdr:spPr bwMode="auto">
        <a:xfrm>
          <a:off x="21450300" y="143065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1897</xdr:row>
      <xdr:rowOff>0</xdr:rowOff>
    </xdr:from>
    <xdr:to>
      <xdr:col>0</xdr:col>
      <xdr:colOff>152400</xdr:colOff>
      <xdr:row>1897</xdr:row>
      <xdr:rowOff>152400</xdr:rowOff>
    </xdr:to>
    <xdr:sp macro="" textlink="">
      <xdr:nvSpPr>
        <xdr:cNvPr id="3" name="dimg_21" descr="Ícono de validado por la comunidad">
          <a:extLst>
            <a:ext uri="{FF2B5EF4-FFF2-40B4-BE49-F238E27FC236}">
              <a16:creationId xmlns:a16="http://schemas.microsoft.com/office/drawing/2014/main" id="{58EFFB99-E03F-4DF4-9E32-E9C9B3461E9E}"/>
            </a:ext>
          </a:extLst>
        </xdr:cNvPr>
        <xdr:cNvSpPr>
          <a:spLocks noChangeAspect="1" noChangeArrowheads="1"/>
        </xdr:cNvSpPr>
      </xdr:nvSpPr>
      <xdr:spPr bwMode="auto">
        <a:xfrm>
          <a:off x="0" y="14287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18</xdr:col>
      <xdr:colOff>0</xdr:colOff>
      <xdr:row>792</xdr:row>
      <xdr:rowOff>0</xdr:rowOff>
    </xdr:from>
    <xdr:to>
      <xdr:col>18</xdr:col>
      <xdr:colOff>152400</xdr:colOff>
      <xdr:row>792</xdr:row>
      <xdr:rowOff>152400</xdr:rowOff>
    </xdr:to>
    <xdr:sp macro="" textlink="">
      <xdr:nvSpPr>
        <xdr:cNvPr id="4" name="dimg_21" descr="Ícono de validado por la comunidad">
          <a:extLst>
            <a:ext uri="{FF2B5EF4-FFF2-40B4-BE49-F238E27FC236}">
              <a16:creationId xmlns:a16="http://schemas.microsoft.com/office/drawing/2014/main" id="{F944F0A4-0D83-43D3-8B58-ED6CCD3FE05C}"/>
            </a:ext>
          </a:extLst>
        </xdr:cNvPr>
        <xdr:cNvSpPr>
          <a:spLocks noChangeAspect="1" noChangeArrowheads="1"/>
        </xdr:cNvSpPr>
      </xdr:nvSpPr>
      <xdr:spPr bwMode="auto">
        <a:xfrm>
          <a:off x="23317200" y="190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18</xdr:col>
      <xdr:colOff>0</xdr:colOff>
      <xdr:row>854</xdr:row>
      <xdr:rowOff>0</xdr:rowOff>
    </xdr:from>
    <xdr:to>
      <xdr:col>18</xdr:col>
      <xdr:colOff>152400</xdr:colOff>
      <xdr:row>854</xdr:row>
      <xdr:rowOff>152400</xdr:rowOff>
    </xdr:to>
    <xdr:sp macro="" textlink="">
      <xdr:nvSpPr>
        <xdr:cNvPr id="5" name="dimg_21" descr="Ícono de validado por la comunidad">
          <a:extLst>
            <a:ext uri="{FF2B5EF4-FFF2-40B4-BE49-F238E27FC236}">
              <a16:creationId xmlns:a16="http://schemas.microsoft.com/office/drawing/2014/main" id="{29A9A6EA-34E7-4024-BF6E-66951BDD8BC9}"/>
            </a:ext>
          </a:extLst>
        </xdr:cNvPr>
        <xdr:cNvSpPr>
          <a:spLocks noChangeAspect="1" noChangeArrowheads="1"/>
        </xdr:cNvSpPr>
      </xdr:nvSpPr>
      <xdr:spPr bwMode="auto">
        <a:xfrm>
          <a:off x="23317200" y="1905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18</xdr:col>
      <xdr:colOff>0</xdr:colOff>
      <xdr:row>927</xdr:row>
      <xdr:rowOff>0</xdr:rowOff>
    </xdr:from>
    <xdr:ext cx="152400" cy="152400"/>
    <xdr:sp macro="" textlink="">
      <xdr:nvSpPr>
        <xdr:cNvPr id="6" name="dimg_21" descr="Ícono de validado por la comunidad">
          <a:extLst>
            <a:ext uri="{FF2B5EF4-FFF2-40B4-BE49-F238E27FC236}">
              <a16:creationId xmlns:a16="http://schemas.microsoft.com/office/drawing/2014/main" id="{F481C7A1-B11B-43B9-9765-567DFA14BB26}"/>
            </a:ext>
          </a:extLst>
        </xdr:cNvPr>
        <xdr:cNvSpPr>
          <a:spLocks noChangeAspect="1" noChangeArrowheads="1"/>
        </xdr:cNvSpPr>
      </xdr:nvSpPr>
      <xdr:spPr bwMode="auto">
        <a:xfrm>
          <a:off x="23317200" y="228600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3.xml><?xml version="1.0" encoding="utf-8"?>
<xdr:wsDr xmlns:xdr="http://schemas.openxmlformats.org/drawingml/2006/spreadsheetDrawing" xmlns:a="http://schemas.openxmlformats.org/drawingml/2006/main">
  <xdr:twoCellAnchor>
    <xdr:from>
      <xdr:col>3</xdr:col>
      <xdr:colOff>542925</xdr:colOff>
      <xdr:row>3</xdr:row>
      <xdr:rowOff>4762</xdr:rowOff>
    </xdr:from>
    <xdr:to>
      <xdr:col>6</xdr:col>
      <xdr:colOff>1343025</xdr:colOff>
      <xdr:row>17</xdr:row>
      <xdr:rowOff>80962</xdr:rowOff>
    </xdr:to>
    <xdr:graphicFrame macro="">
      <xdr:nvGraphicFramePr>
        <xdr:cNvPr id="4" name="Chart 3">
          <a:extLst>
            <a:ext uri="{FF2B5EF4-FFF2-40B4-BE49-F238E27FC236}">
              <a16:creationId xmlns:a16="http://schemas.microsoft.com/office/drawing/2014/main" id="{436F713D-4F41-4D34-964D-85C84182AFC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533400</xdr:colOff>
      <xdr:row>21</xdr:row>
      <xdr:rowOff>71437</xdr:rowOff>
    </xdr:from>
    <xdr:to>
      <xdr:col>6</xdr:col>
      <xdr:colOff>1333500</xdr:colOff>
      <xdr:row>35</xdr:row>
      <xdr:rowOff>147637</xdr:rowOff>
    </xdr:to>
    <xdr:graphicFrame macro="">
      <xdr:nvGraphicFramePr>
        <xdr:cNvPr id="5" name="Chart 4">
          <a:extLst>
            <a:ext uri="{FF2B5EF4-FFF2-40B4-BE49-F238E27FC236}">
              <a16:creationId xmlns:a16="http://schemas.microsoft.com/office/drawing/2014/main" id="{7F2B98D9-BEEC-4E02-BFAB-C6DB61AED5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209550</xdr:colOff>
      <xdr:row>39</xdr:row>
      <xdr:rowOff>119062</xdr:rowOff>
    </xdr:from>
    <xdr:to>
      <xdr:col>6</xdr:col>
      <xdr:colOff>1009650</xdr:colOff>
      <xdr:row>54</xdr:row>
      <xdr:rowOff>4762</xdr:rowOff>
    </xdr:to>
    <xdr:graphicFrame macro="">
      <xdr:nvGraphicFramePr>
        <xdr:cNvPr id="8" name="Chart 7">
          <a:extLst>
            <a:ext uri="{FF2B5EF4-FFF2-40B4-BE49-F238E27FC236}">
              <a16:creationId xmlns:a16="http://schemas.microsoft.com/office/drawing/2014/main" id="{25DCCD89-1593-4E08-8BE7-14BABC1410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314325</xdr:colOff>
      <xdr:row>58</xdr:row>
      <xdr:rowOff>147637</xdr:rowOff>
    </xdr:from>
    <xdr:to>
      <xdr:col>6</xdr:col>
      <xdr:colOff>1114425</xdr:colOff>
      <xdr:row>73</xdr:row>
      <xdr:rowOff>33337</xdr:rowOff>
    </xdr:to>
    <xdr:graphicFrame macro="">
      <xdr:nvGraphicFramePr>
        <xdr:cNvPr id="9" name="Chart 8">
          <a:extLst>
            <a:ext uri="{FF2B5EF4-FFF2-40B4-BE49-F238E27FC236}">
              <a16:creationId xmlns:a16="http://schemas.microsoft.com/office/drawing/2014/main" id="{26AF4ED4-496F-4B5E-9CF2-36139754F1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209550</xdr:colOff>
      <xdr:row>77</xdr:row>
      <xdr:rowOff>157162</xdr:rowOff>
    </xdr:from>
    <xdr:to>
      <xdr:col>6</xdr:col>
      <xdr:colOff>1009650</xdr:colOff>
      <xdr:row>92</xdr:row>
      <xdr:rowOff>42862</xdr:rowOff>
    </xdr:to>
    <xdr:graphicFrame macro="">
      <xdr:nvGraphicFramePr>
        <xdr:cNvPr id="10" name="Chart 9">
          <a:extLst>
            <a:ext uri="{FF2B5EF4-FFF2-40B4-BE49-F238E27FC236}">
              <a16:creationId xmlns:a16="http://schemas.microsoft.com/office/drawing/2014/main" id="{1A1AB82B-BAAB-49B8-9151-C5D9CB4697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xdr:col>
      <xdr:colOff>219075</xdr:colOff>
      <xdr:row>96</xdr:row>
      <xdr:rowOff>128587</xdr:rowOff>
    </xdr:from>
    <xdr:to>
      <xdr:col>6</xdr:col>
      <xdr:colOff>1019175</xdr:colOff>
      <xdr:row>111</xdr:row>
      <xdr:rowOff>14287</xdr:rowOff>
    </xdr:to>
    <xdr:graphicFrame macro="">
      <xdr:nvGraphicFramePr>
        <xdr:cNvPr id="11" name="Chart 10">
          <a:extLst>
            <a:ext uri="{FF2B5EF4-FFF2-40B4-BE49-F238E27FC236}">
              <a16:creationId xmlns:a16="http://schemas.microsoft.com/office/drawing/2014/main" id="{ACE9F263-4117-4660-BBBD-2DBF9247D2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514350</xdr:colOff>
      <xdr:row>115</xdr:row>
      <xdr:rowOff>157162</xdr:rowOff>
    </xdr:from>
    <xdr:to>
      <xdr:col>6</xdr:col>
      <xdr:colOff>1314450</xdr:colOff>
      <xdr:row>130</xdr:row>
      <xdr:rowOff>42862</xdr:rowOff>
    </xdr:to>
    <xdr:graphicFrame macro="">
      <xdr:nvGraphicFramePr>
        <xdr:cNvPr id="12" name="Chart 11">
          <a:extLst>
            <a:ext uri="{FF2B5EF4-FFF2-40B4-BE49-F238E27FC236}">
              <a16:creationId xmlns:a16="http://schemas.microsoft.com/office/drawing/2014/main" id="{49DB7578-5C26-42F6-876D-AB7C07783A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361950</xdr:colOff>
      <xdr:row>135</xdr:row>
      <xdr:rowOff>4762</xdr:rowOff>
    </xdr:from>
    <xdr:to>
      <xdr:col>6</xdr:col>
      <xdr:colOff>1162050</xdr:colOff>
      <xdr:row>149</xdr:row>
      <xdr:rowOff>80962</xdr:rowOff>
    </xdr:to>
    <xdr:graphicFrame macro="">
      <xdr:nvGraphicFramePr>
        <xdr:cNvPr id="13" name="Chart 12">
          <a:extLst>
            <a:ext uri="{FF2B5EF4-FFF2-40B4-BE49-F238E27FC236}">
              <a16:creationId xmlns:a16="http://schemas.microsoft.com/office/drawing/2014/main" id="{233866D5-015D-4908-BDEF-F6A2FF6B07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xdr:col>
      <xdr:colOff>457200</xdr:colOff>
      <xdr:row>153</xdr:row>
      <xdr:rowOff>100012</xdr:rowOff>
    </xdr:from>
    <xdr:to>
      <xdr:col>6</xdr:col>
      <xdr:colOff>1257300</xdr:colOff>
      <xdr:row>167</xdr:row>
      <xdr:rowOff>176212</xdr:rowOff>
    </xdr:to>
    <xdr:graphicFrame macro="">
      <xdr:nvGraphicFramePr>
        <xdr:cNvPr id="14" name="Chart 13">
          <a:extLst>
            <a:ext uri="{FF2B5EF4-FFF2-40B4-BE49-F238E27FC236}">
              <a16:creationId xmlns:a16="http://schemas.microsoft.com/office/drawing/2014/main" id="{8F4A14DD-66BB-4004-BB7F-161854ED67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9srpcr07\QA_AT&amp;T\Pabla\01%20Jara\08%20Files\02%20Macros\Manpower%202.0.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onfig"/>
      <sheetName val="Analysis"/>
      <sheetName val="Manpower"/>
      <sheetName val="Attrition"/>
      <sheetName val="Dashboard"/>
      <sheetName val="Staffing RD"/>
      <sheetName val="HC PV"/>
      <sheetName val="HC RD"/>
      <sheetName val="BSC"/>
      <sheetName val="Routes"/>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Mauricio Castillo Martinez" refreshedDate="44564.662645833334" createdVersion="6" refreshedVersion="7" minRefreshableVersion="3" recordCount="91" xr:uid="{00000000-000A-0000-FFFF-FFFF49000000}">
  <cacheSource type="worksheet">
    <worksheetSource ref="A1:P92" sheet="DATA"/>
  </cacheSource>
  <cacheFields count="16">
    <cacheField name="Support process" numFmtId="0">
      <sharedItems containsBlank="1"/>
    </cacheField>
    <cacheField name="Group" numFmtId="0">
      <sharedItems containsBlank="1"/>
    </cacheField>
    <cacheField name="Goal" numFmtId="0">
      <sharedItems containsBlank="1"/>
    </cacheField>
    <cacheField name="Month" numFmtId="17">
      <sharedItems containsNonDate="0" containsDate="1" containsString="0" containsBlank="1" minDate="2019-12-01T00:00:00" maxDate="2021-11-02T00:00:00" count="19">
        <d v="2021-11-01T00:00:00"/>
        <d v="2020-08-01T00:00:00"/>
        <d v="2020-09-01T00:00:00"/>
        <d v="2020-10-01T00:00:00"/>
        <d v="2020-11-01T00:00:00"/>
        <d v="2020-12-01T00:00:00"/>
        <m/>
        <d v="2021-09-01T00:00:00" u="1"/>
        <d v="2021-08-01T00:00:00" u="1"/>
        <d v="2020-07-01T00:00:00" u="1"/>
        <d v="2020-06-01T00:00:00" u="1"/>
        <d v="2020-05-01T00:00:00" u="1"/>
        <d v="2020-04-01T00:00:00" u="1"/>
        <d v="2020-03-01T00:00:00" u="1"/>
        <d v="2019-12-01T00:00:00" u="1"/>
        <d v="2020-02-01T00:00:00" u="1"/>
        <d v="2021-02-01T00:00:00" u="1"/>
        <d v="2020-01-01T00:00:00" u="1"/>
        <d v="2021-10-01T00:00:00" u="1"/>
      </sharedItems>
    </cacheField>
    <cacheField name="Quarter" numFmtId="0">
      <sharedItems containsString="0" containsBlank="1" containsNumber="1" containsInteger="1" minValue="3" maxValue="4"/>
    </cacheField>
    <cacheField name="Type" numFmtId="0">
      <sharedItems containsBlank="1"/>
    </cacheField>
    <cacheField name="Frequency" numFmtId="0">
      <sharedItems containsBlank="1"/>
    </cacheField>
    <cacheField name="Value Type" numFmtId="0">
      <sharedItems containsBlank="1"/>
    </cacheField>
    <cacheField name="Good is" numFmtId="0">
      <sharedItems containsString="0" containsBlank="1" containsNumber="1" containsInteger="1" minValue="-1" maxValue="1"/>
    </cacheField>
    <cacheField name="Metric" numFmtId="0">
      <sharedItems containsBlank="1" count="24">
        <s v="Mean time to repair"/>
        <s v="Priority 2. 3 &amp; 4 Incidents"/>
        <s v="SLA – Severity 1 (Highest Priority)"/>
        <s v="Ttickets Completion (On Time Resolution)"/>
        <s v="Uptime (IT Infrastructure)"/>
        <m/>
        <s v="External Audits" u="1"/>
        <s v="Voice Attrition " u="1"/>
        <s v="Scheduled to required  " u="1"/>
        <s v="Just 16 (Completion)" u="1"/>
        <s v="Scheduling Delivery2" u="1"/>
        <s v="Incident (queries) Resolution" u="1"/>
        <s v="LH Delivery On time" u="1"/>
        <s v="ESAT Just 16 (overall scores)" u="1"/>
        <s v="Fun On the Floor" u="1"/>
        <s v="Internal Employees File Audit" u="1"/>
        <s v="Efficiency LH" u="1"/>
        <s v="Employee Grievance" u="1"/>
        <s v="LH Delivery On time 2" u="1"/>
        <s v="Scheduling Delivery" u="1"/>
        <s v="Recordable Injury Accident Rate" u="1"/>
        <s v="Digital Chat Attrition " u="1"/>
        <s v="Scheduled to required  2" u="1"/>
        <s v="LH Accuracy" u="1"/>
      </sharedItems>
    </cacheField>
    <cacheField name="Target" numFmtId="0">
      <sharedItems containsString="0" containsBlank="1" containsNumber="1" minValue="0.85" maxValue="48"/>
    </cacheField>
    <cacheField name="Actual Score" numFmtId="0">
      <sharedItems containsBlank="1" containsMixedTypes="1" containsNumber="1" containsInteger="1" minValue="0" maxValue="1"/>
    </cacheField>
    <cacheField name="Attainment" numFmtId="10">
      <sharedItems containsBlank="1" containsMixedTypes="1" containsNumber="1" minValue="0" maxValue="1.0010010010010011"/>
    </cacheField>
    <cacheField name="Status" numFmtId="0">
      <sharedItems containsBlank="1"/>
    </cacheField>
    <cacheField name="Focus" numFmtId="0">
      <sharedItems containsBlank="1"/>
    </cacheField>
    <cacheField name="Last 3 months"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1">
  <r>
    <s v="IT"/>
    <s v="BOG"/>
    <s v="G2"/>
    <x v="0"/>
    <n v="4"/>
    <s v="Critical"/>
    <s v="Monthly"/>
    <s v="Time Based - Hours"/>
    <n v="-1"/>
    <x v="0"/>
    <n v="48"/>
    <n v="0"/>
    <n v="1"/>
    <s v="Met"/>
    <m/>
    <b v="1"/>
  </r>
  <r>
    <s v="IT"/>
    <s v="BOG"/>
    <s v="G1"/>
    <x v="0"/>
    <n v="4"/>
    <s v="Non Critical"/>
    <s v="Monthly"/>
    <s v="Percentage"/>
    <n v="1"/>
    <x v="1"/>
    <n v="0.95"/>
    <n v="0"/>
    <n v="0"/>
    <s v="Not Met"/>
    <m/>
    <b v="1"/>
  </r>
  <r>
    <s v="IT"/>
    <s v="BOG"/>
    <s v="G1"/>
    <x v="0"/>
    <n v="4"/>
    <s v="Critical"/>
    <s v="Monthly"/>
    <s v="Percentage"/>
    <n v="1"/>
    <x v="2"/>
    <n v="1"/>
    <n v="1"/>
    <n v="1"/>
    <s v="Met"/>
    <b v="1"/>
    <b v="1"/>
  </r>
  <r>
    <s v="IT"/>
    <s v="BOG"/>
    <s v="G2"/>
    <x v="0"/>
    <n v="4"/>
    <s v="Critical"/>
    <s v="Monthly"/>
    <s v="Percentage"/>
    <n v="1"/>
    <x v="3"/>
    <n v="0.95"/>
    <s v=""/>
    <s v=""/>
    <s v=""/>
    <m/>
    <b v="1"/>
  </r>
  <r>
    <s v="IT"/>
    <s v="BOG"/>
    <s v="G1"/>
    <x v="0"/>
    <n v="4"/>
    <s v="Critical"/>
    <s v="Monthly"/>
    <s v="Percentage"/>
    <n v="1"/>
    <x v="4"/>
    <n v="0.999"/>
    <n v="1"/>
    <n v="1.0010010010010011"/>
    <s v="Met"/>
    <b v="1"/>
    <b v="1"/>
  </r>
  <r>
    <s v="IT"/>
    <s v="NIC"/>
    <s v="G2"/>
    <x v="1"/>
    <n v="3"/>
    <s v="Critical"/>
    <s v="Monthly"/>
    <s v="Time Based - Hours"/>
    <n v="-1"/>
    <x v="0"/>
    <n v="48"/>
    <m/>
    <s v=""/>
    <s v=""/>
    <m/>
    <b v="0"/>
  </r>
  <r>
    <s v="IT"/>
    <s v="NIC"/>
    <s v="G1"/>
    <x v="1"/>
    <n v="3"/>
    <s v="Non Critical"/>
    <s v="Monthly"/>
    <s v="Percentage"/>
    <n v="1"/>
    <x v="1"/>
    <n v="0.85"/>
    <m/>
    <s v=""/>
    <s v=""/>
    <m/>
    <b v="0"/>
  </r>
  <r>
    <s v="IT"/>
    <s v="NIC"/>
    <s v="G1"/>
    <x v="1"/>
    <n v="3"/>
    <s v="Critical"/>
    <s v="Monthly"/>
    <s v="Percentage"/>
    <n v="1"/>
    <x v="2"/>
    <n v="1"/>
    <m/>
    <s v=""/>
    <s v=""/>
    <b v="1"/>
    <b v="0"/>
  </r>
  <r>
    <s v="IT"/>
    <s v="NIC"/>
    <s v="G2"/>
    <x v="1"/>
    <n v="3"/>
    <s v="Critical"/>
    <s v="Monthly"/>
    <s v="Percentage"/>
    <n v="1"/>
    <x v="3"/>
    <n v="0.95"/>
    <m/>
    <s v=""/>
    <s v=""/>
    <m/>
    <b v="0"/>
  </r>
  <r>
    <s v="IT"/>
    <s v="NIC"/>
    <s v="G1"/>
    <x v="1"/>
    <n v="3"/>
    <s v="Critical"/>
    <s v="Monthly"/>
    <s v="Percentage"/>
    <n v="1"/>
    <x v="4"/>
    <n v="0.999"/>
    <m/>
    <s v=""/>
    <s v=""/>
    <b v="1"/>
    <b v="0"/>
  </r>
  <r>
    <s v="IT"/>
    <s v="NIC"/>
    <s v="G2"/>
    <x v="2"/>
    <n v="3"/>
    <s v="Critical"/>
    <s v="Monthly"/>
    <s v="Time Based - Hours"/>
    <n v="-1"/>
    <x v="0"/>
    <n v="48"/>
    <m/>
    <s v=""/>
    <s v=""/>
    <m/>
    <b v="0"/>
  </r>
  <r>
    <s v="IT"/>
    <s v="NIC"/>
    <s v="G1"/>
    <x v="2"/>
    <n v="3"/>
    <s v="Non Critical"/>
    <s v="Monthly"/>
    <s v="Percentage"/>
    <n v="1"/>
    <x v="1"/>
    <n v="0.85"/>
    <m/>
    <s v=""/>
    <s v=""/>
    <m/>
    <b v="0"/>
  </r>
  <r>
    <s v="IT"/>
    <s v="NIC"/>
    <s v="G1"/>
    <x v="2"/>
    <n v="3"/>
    <s v="Critical"/>
    <s v="Monthly"/>
    <s v="Percentage"/>
    <n v="1"/>
    <x v="2"/>
    <n v="1"/>
    <m/>
    <s v=""/>
    <s v=""/>
    <b v="1"/>
    <b v="0"/>
  </r>
  <r>
    <s v="IT"/>
    <s v="NIC"/>
    <s v="G2"/>
    <x v="2"/>
    <n v="3"/>
    <s v="Critical"/>
    <s v="Monthly"/>
    <s v="Percentage"/>
    <n v="1"/>
    <x v="3"/>
    <n v="0.95"/>
    <m/>
    <s v=""/>
    <s v=""/>
    <m/>
    <b v="0"/>
  </r>
  <r>
    <s v="IT"/>
    <s v="NIC"/>
    <s v="G1"/>
    <x v="2"/>
    <n v="3"/>
    <s v="Critical"/>
    <s v="Monthly"/>
    <s v="Percentage"/>
    <n v="1"/>
    <x v="4"/>
    <n v="0.999"/>
    <m/>
    <s v=""/>
    <s v=""/>
    <b v="1"/>
    <b v="0"/>
  </r>
  <r>
    <s v="IT"/>
    <s v="NIC"/>
    <s v="G2"/>
    <x v="3"/>
    <n v="4"/>
    <s v="Critical"/>
    <s v="Monthly"/>
    <s v="Time Based - Hours"/>
    <n v="-1"/>
    <x v="0"/>
    <n v="48"/>
    <m/>
    <s v=""/>
    <s v=""/>
    <m/>
    <b v="0"/>
  </r>
  <r>
    <s v="IT"/>
    <s v="NIC"/>
    <s v="G1"/>
    <x v="3"/>
    <n v="4"/>
    <s v="Non Critical"/>
    <s v="Monthly"/>
    <s v="Percentage"/>
    <n v="1"/>
    <x v="1"/>
    <n v="0.85"/>
    <m/>
    <s v=""/>
    <s v=""/>
    <m/>
    <b v="0"/>
  </r>
  <r>
    <s v="IT"/>
    <s v="NIC"/>
    <s v="G1"/>
    <x v="3"/>
    <n v="4"/>
    <s v="Critical"/>
    <s v="Monthly"/>
    <s v="Percentage"/>
    <n v="1"/>
    <x v="2"/>
    <n v="1"/>
    <m/>
    <s v=""/>
    <s v=""/>
    <b v="1"/>
    <b v="0"/>
  </r>
  <r>
    <s v="IT"/>
    <s v="NIC"/>
    <s v="G2"/>
    <x v="3"/>
    <n v="4"/>
    <s v="Critical"/>
    <s v="Monthly"/>
    <s v="Percentage"/>
    <n v="1"/>
    <x v="3"/>
    <n v="0.95"/>
    <m/>
    <s v=""/>
    <s v=""/>
    <m/>
    <b v="0"/>
  </r>
  <r>
    <s v="IT"/>
    <s v="NIC"/>
    <s v="G1"/>
    <x v="3"/>
    <n v="4"/>
    <s v="Critical"/>
    <s v="Monthly"/>
    <s v="Percentage"/>
    <n v="1"/>
    <x v="4"/>
    <n v="0.999"/>
    <m/>
    <s v=""/>
    <s v=""/>
    <b v="1"/>
    <b v="0"/>
  </r>
  <r>
    <s v="IT"/>
    <s v="NIC"/>
    <s v="G2"/>
    <x v="4"/>
    <n v="4"/>
    <s v="Critical"/>
    <s v="Monthly"/>
    <s v="Time Based - Hours"/>
    <n v="-1"/>
    <x v="0"/>
    <n v="48"/>
    <m/>
    <s v=""/>
    <s v=""/>
    <m/>
    <b v="0"/>
  </r>
  <r>
    <s v="IT"/>
    <s v="NIC"/>
    <s v="G1"/>
    <x v="4"/>
    <n v="4"/>
    <s v="Non Critical"/>
    <s v="Monthly"/>
    <s v="Percentage"/>
    <n v="1"/>
    <x v="1"/>
    <n v="0.85"/>
    <m/>
    <s v=""/>
    <s v=""/>
    <m/>
    <b v="0"/>
  </r>
  <r>
    <s v="IT"/>
    <s v="NIC"/>
    <s v="G1"/>
    <x v="4"/>
    <n v="4"/>
    <s v="Critical"/>
    <s v="Monthly"/>
    <s v="Percentage"/>
    <n v="1"/>
    <x v="2"/>
    <n v="1"/>
    <m/>
    <s v=""/>
    <s v=""/>
    <b v="1"/>
    <b v="0"/>
  </r>
  <r>
    <s v="IT"/>
    <s v="NIC"/>
    <s v="G2"/>
    <x v="4"/>
    <n v="4"/>
    <s v="Critical"/>
    <s v="Monthly"/>
    <s v="Percentage"/>
    <n v="1"/>
    <x v="3"/>
    <n v="0.95"/>
    <m/>
    <s v=""/>
    <s v=""/>
    <m/>
    <b v="0"/>
  </r>
  <r>
    <s v="IT"/>
    <s v="NIC"/>
    <s v="G1"/>
    <x v="4"/>
    <n v="4"/>
    <s v="Critical"/>
    <s v="Monthly"/>
    <s v="Percentage"/>
    <n v="1"/>
    <x v="4"/>
    <n v="0.999"/>
    <m/>
    <s v=""/>
    <s v=""/>
    <b v="1"/>
    <b v="0"/>
  </r>
  <r>
    <s v="IT"/>
    <s v="NIC"/>
    <s v="G2"/>
    <x v="5"/>
    <n v="4"/>
    <s v="Critical"/>
    <s v="Monthly"/>
    <s v="Time Based - Hours"/>
    <n v="-1"/>
    <x v="0"/>
    <n v="48"/>
    <m/>
    <s v=""/>
    <s v=""/>
    <m/>
    <b v="0"/>
  </r>
  <r>
    <s v="IT"/>
    <s v="NIC"/>
    <s v="G1"/>
    <x v="5"/>
    <n v="4"/>
    <s v="Non Critical"/>
    <s v="Monthly"/>
    <s v="Percentage"/>
    <n v="1"/>
    <x v="1"/>
    <n v="0.85"/>
    <m/>
    <s v=""/>
    <s v=""/>
    <m/>
    <b v="0"/>
  </r>
  <r>
    <s v="IT"/>
    <s v="NIC"/>
    <s v="G1"/>
    <x v="5"/>
    <n v="4"/>
    <s v="Critical"/>
    <s v="Monthly"/>
    <s v="Percentage"/>
    <n v="1"/>
    <x v="2"/>
    <n v="1"/>
    <m/>
    <s v=""/>
    <s v=""/>
    <b v="1"/>
    <b v="0"/>
  </r>
  <r>
    <s v="IT"/>
    <s v="NIC"/>
    <s v="G2"/>
    <x v="5"/>
    <n v="4"/>
    <s v="Critical"/>
    <s v="Monthly"/>
    <s v="Percentage"/>
    <n v="1"/>
    <x v="3"/>
    <n v="0.95"/>
    <m/>
    <s v=""/>
    <s v=""/>
    <m/>
    <b v="0"/>
  </r>
  <r>
    <s v="IT"/>
    <s v="NIC"/>
    <s v="G1"/>
    <x v="5"/>
    <n v="4"/>
    <s v="Critical"/>
    <s v="Monthly"/>
    <s v="Percentage"/>
    <n v="1"/>
    <x v="4"/>
    <n v="0.999"/>
    <m/>
    <s v=""/>
    <s v=""/>
    <b v="1"/>
    <b v="0"/>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r>
    <m/>
    <m/>
    <m/>
    <x v="6"/>
    <m/>
    <m/>
    <m/>
    <m/>
    <m/>
    <x v="5"/>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8000000}" name="PivotTable9" cacheId="32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3">
  <location ref="A117:B119" firstHeaderRow="1" firstDataRow="2" firstDataCol="1"/>
  <pivotFields count="16">
    <pivotField showAll="0"/>
    <pivotField showAll="0"/>
    <pivotField showAll="0"/>
    <pivotField axis="axisRow" numFmtId="17" showAll="0">
      <items count="20">
        <item h="1" x="6"/>
        <item h="1" m="1" x="17"/>
        <item h="1" m="1" x="14"/>
        <item h="1" m="1" x="15"/>
        <item h="1" m="1" x="13"/>
        <item h="1" m="1" x="12"/>
        <item h="1" m="1" x="11"/>
        <item h="1" m="1" x="10"/>
        <item h="1" m="1" x="9"/>
        <item h="1" x="1"/>
        <item h="1" x="2"/>
        <item h="1" x="3"/>
        <item h="1" x="4"/>
        <item h="1" x="5"/>
        <item m="1" x="16"/>
        <item h="1" m="1" x="8"/>
        <item h="1" m="1" x="7"/>
        <item h="1" m="1" x="18"/>
        <item h="1" x="0"/>
        <item t="default"/>
      </items>
    </pivotField>
    <pivotField showAll="0"/>
    <pivotField showAll="0"/>
    <pivotField showAll="0"/>
    <pivotField showAll="0"/>
    <pivotField showAll="0"/>
    <pivotField axis="axisCol" showAll="0">
      <items count="25">
        <item h="1" m="1" x="21"/>
        <item h="1" m="1" x="17"/>
        <item h="1" m="1" x="13"/>
        <item h="1" m="1" x="6"/>
        <item h="1" m="1" x="14"/>
        <item h="1" m="1" x="15"/>
        <item h="1" m="1" x="9"/>
        <item h="1" m="1" x="20"/>
        <item h="1" m="1" x="7"/>
        <item h="1" x="5"/>
        <item h="1" m="1" x="16"/>
        <item h="1" m="1" x="11"/>
        <item h="1" m="1" x="23"/>
        <item h="1" m="1" x="12"/>
        <item h="1" m="1" x="8"/>
        <item h="1" m="1" x="19"/>
        <item m="1" x="18"/>
        <item h="1" m="1" x="22"/>
        <item h="1" m="1" x="10"/>
        <item h="1" x="0"/>
        <item h="1" x="1"/>
        <item h="1" x="2"/>
        <item h="1" x="3"/>
        <item h="1" x="4"/>
        <item t="default"/>
      </items>
    </pivotField>
    <pivotField showAll="0"/>
    <pivotField showAll="0"/>
    <pivotField dataField="1" showAll="0"/>
    <pivotField showAll="0"/>
    <pivotField showAll="0"/>
    <pivotField showAll="0"/>
  </pivotFields>
  <rowFields count="1">
    <field x="3"/>
  </rowFields>
  <rowItems count="1">
    <i t="grand">
      <x/>
    </i>
  </rowItems>
  <colFields count="1">
    <field x="9"/>
  </colFields>
  <colItems count="1">
    <i t="grand">
      <x/>
    </i>
  </colItems>
  <dataFields count="1">
    <dataField name="Average of Attainment" fld="12" subtotal="average" baseField="3" baseItem="1" numFmtId="9"/>
  </dataFields>
  <chartFormats count="9">
    <chartFormat chart="0" format="0" series="1">
      <pivotArea type="data" outline="0" fieldPosition="0">
        <references count="2">
          <reference field="4294967294" count="1" selected="0">
            <x v="0"/>
          </reference>
          <reference field="9" count="1" selected="0">
            <x v="0"/>
          </reference>
        </references>
      </pivotArea>
    </chartFormat>
    <chartFormat chart="2" format="2" series="1">
      <pivotArea type="data" outline="0" fieldPosition="0">
        <references count="2">
          <reference field="4294967294" count="1" selected="0">
            <x v="0"/>
          </reference>
          <reference field="9" count="1" selected="0">
            <x v="0"/>
          </reference>
        </references>
      </pivotArea>
    </chartFormat>
    <chartFormat chart="3" format="0" series="1">
      <pivotArea type="data" outline="0" fieldPosition="0">
        <references count="2">
          <reference field="4294967294" count="1" selected="0">
            <x v="0"/>
          </reference>
          <reference field="9" count="1" selected="0">
            <x v="1"/>
          </reference>
        </references>
      </pivotArea>
    </chartFormat>
    <chartFormat chart="4" format="0" series="1">
      <pivotArea type="data" outline="0" fieldPosition="0">
        <references count="2">
          <reference field="4294967294" count="1" selected="0">
            <x v="0"/>
          </reference>
          <reference field="9" count="1" selected="0">
            <x v="2"/>
          </reference>
        </references>
      </pivotArea>
    </chartFormat>
    <chartFormat chart="5" format="0" series="1">
      <pivotArea type="data" outline="0" fieldPosition="0">
        <references count="2">
          <reference field="4294967294" count="1" selected="0">
            <x v="0"/>
          </reference>
          <reference field="9" count="1" selected="0">
            <x v="3"/>
          </reference>
        </references>
      </pivotArea>
    </chartFormat>
    <chartFormat chart="6" format="0" series="1">
      <pivotArea type="data" outline="0" fieldPosition="0">
        <references count="2">
          <reference field="4294967294" count="1" selected="0">
            <x v="0"/>
          </reference>
          <reference field="9" count="1" selected="0">
            <x v="4"/>
          </reference>
        </references>
      </pivotArea>
    </chartFormat>
    <chartFormat chart="7" format="0" series="1">
      <pivotArea type="data" outline="0" fieldPosition="0">
        <references count="2">
          <reference field="4294967294" count="1" selected="0">
            <x v="0"/>
          </reference>
          <reference field="9" count="1" selected="0">
            <x v="5"/>
          </reference>
        </references>
      </pivotArea>
    </chartFormat>
    <chartFormat chart="8" format="0" series="1">
      <pivotArea type="data" outline="0" fieldPosition="0">
        <references count="2">
          <reference field="4294967294" count="1" selected="0">
            <x v="0"/>
          </reference>
          <reference field="9" count="1" selected="0">
            <x v="6"/>
          </reference>
        </references>
      </pivotArea>
    </chartFormat>
    <chartFormat chart="8"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3" cacheId="32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9">
  <location ref="A5:B7" firstHeaderRow="1" firstDataRow="2" firstDataCol="1"/>
  <pivotFields count="16">
    <pivotField showAll="0"/>
    <pivotField showAll="0"/>
    <pivotField showAll="0"/>
    <pivotField axis="axisRow" numFmtId="17" showAll="0">
      <items count="20">
        <item h="1" x="6"/>
        <item h="1" m="1" x="17"/>
        <item h="1" m="1" x="14"/>
        <item h="1" m="1" x="15"/>
        <item h="1" m="1" x="13"/>
        <item h="1" m="1" x="12"/>
        <item h="1" m="1" x="11"/>
        <item h="1" m="1" x="10"/>
        <item h="1" m="1" x="9"/>
        <item n="Febrero-2021" h="1" x="1"/>
        <item h="1" x="2"/>
        <item h="1" x="3"/>
        <item h="1" x="4"/>
        <item h="1" x="5"/>
        <item m="1" x="16"/>
        <item h="1" m="1" x="8"/>
        <item h="1" m="1" x="7"/>
        <item h="1" m="1" x="18"/>
        <item h="1" x="0"/>
        <item t="default"/>
      </items>
    </pivotField>
    <pivotField showAll="0"/>
    <pivotField showAll="0"/>
    <pivotField showAll="0"/>
    <pivotField showAll="0"/>
    <pivotField showAll="0"/>
    <pivotField axis="axisCol" showAll="0">
      <items count="25">
        <item h="1" m="1" x="21"/>
        <item h="1" m="1" x="17"/>
        <item h="1" m="1" x="13"/>
        <item h="1" m="1" x="6"/>
        <item h="1" m="1" x="14"/>
        <item h="1" m="1" x="15"/>
        <item h="1" m="1" x="9"/>
        <item h="1" m="1" x="20"/>
        <item h="1" m="1" x="7"/>
        <item h="1" x="5"/>
        <item h="1" m="1" x="16"/>
        <item h="1" m="1" x="11"/>
        <item h="1" m="1" x="23"/>
        <item h="1" m="1" x="12"/>
        <item h="1" m="1" x="8"/>
        <item h="1" m="1" x="19"/>
        <item h="1" m="1" x="18"/>
        <item h="1" m="1" x="22"/>
        <item h="1" m="1" x="10"/>
        <item x="0"/>
        <item h="1" x="1"/>
        <item h="1" x="2"/>
        <item h="1" x="3"/>
        <item h="1" x="4"/>
        <item t="default"/>
      </items>
    </pivotField>
    <pivotField showAll="0"/>
    <pivotField showAll="0"/>
    <pivotField dataField="1" showAll="0"/>
    <pivotField showAll="0"/>
    <pivotField showAll="0"/>
    <pivotField showAll="0"/>
  </pivotFields>
  <rowFields count="1">
    <field x="3"/>
  </rowFields>
  <rowItems count="1">
    <i t="grand">
      <x/>
    </i>
  </rowItems>
  <colFields count="1">
    <field x="9"/>
  </colFields>
  <colItems count="1">
    <i t="grand">
      <x/>
    </i>
  </colItems>
  <dataFields count="1">
    <dataField name="Average of Attainment" fld="12" subtotal="average" baseField="3" baseItem="0" numFmtId="9"/>
  </dataFields>
  <chartFormats count="8">
    <chartFormat chart="0" format="2" series="1">
      <pivotArea type="data" outline="0" fieldPosition="0"/>
    </chartFormat>
    <chartFormat chart="8" format="4" series="1">
      <pivotArea type="data" outline="0" fieldPosition="0"/>
    </chartFormat>
    <chartFormat chart="0" format="3" series="1">
      <pivotArea type="data" outline="0" fieldPosition="0">
        <references count="1">
          <reference field="9" count="1" selected="0">
            <x v="9"/>
          </reference>
        </references>
      </pivotArea>
    </chartFormat>
    <chartFormat chart="8" format="5" series="1">
      <pivotArea type="data" outline="0" fieldPosition="0">
        <references count="1">
          <reference field="9" count="1" selected="0">
            <x v="9"/>
          </reference>
        </references>
      </pivotArea>
    </chartFormat>
    <chartFormat chart="0" format="4" series="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 chart="8" format="7" series="1">
      <pivotArea type="data" outline="0" fieldPosition="0">
        <references count="2">
          <reference field="4294967294" count="1" selected="0">
            <x v="0"/>
          </reference>
          <reference field="9" count="1" selected="0">
            <x v="19"/>
          </reference>
        </references>
      </pivotArea>
    </chartFormat>
    <chartFormat chart="0" format="5" series="1">
      <pivotArea type="data" outline="0" fieldPosition="0">
        <references count="2">
          <reference field="4294967294" count="1" selected="0">
            <x v="0"/>
          </reference>
          <reference field="9" count="1" selected="0">
            <x v="1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PivotTable4" cacheId="32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6">
  <location ref="A23:B25" firstHeaderRow="1" firstDataRow="2" firstDataCol="1"/>
  <pivotFields count="16">
    <pivotField showAll="0"/>
    <pivotField showAll="0"/>
    <pivotField showAll="0"/>
    <pivotField axis="axisRow" numFmtId="17" showAll="0">
      <items count="20">
        <item h="1" x="6"/>
        <item h="1" m="1" x="17"/>
        <item h="1" m="1" x="14"/>
        <item h="1" m="1" x="15"/>
        <item h="1" m="1" x="13"/>
        <item h="1" m="1" x="12"/>
        <item h="1" m="1" x="11"/>
        <item h="1" m="1" x="10"/>
        <item h="1" m="1" x="9"/>
        <item n="02/1/2021" h="1" x="1"/>
        <item h="1" x="2"/>
        <item h="1" x="3"/>
        <item h="1" x="4"/>
        <item h="1" x="5"/>
        <item m="1" x="16"/>
        <item h="1" m="1" x="8"/>
        <item h="1" m="1" x="7"/>
        <item h="1" m="1" x="18"/>
        <item h="1" x="0"/>
        <item t="default"/>
      </items>
    </pivotField>
    <pivotField showAll="0"/>
    <pivotField showAll="0"/>
    <pivotField showAll="0"/>
    <pivotField showAll="0"/>
    <pivotField showAll="0"/>
    <pivotField axis="axisCol" showAll="0">
      <items count="25">
        <item h="1" m="1" x="21"/>
        <item h="1" m="1" x="17"/>
        <item h="1" m="1" x="13"/>
        <item h="1" m="1" x="6"/>
        <item h="1" m="1" x="14"/>
        <item h="1" m="1" x="15"/>
        <item h="1" m="1" x="9"/>
        <item h="1" m="1" x="20"/>
        <item h="1" m="1" x="7"/>
        <item h="1" x="5"/>
        <item h="1" m="1" x="16"/>
        <item h="1" m="1" x="11"/>
        <item h="1" m="1" x="23"/>
        <item h="1" m="1" x="12"/>
        <item h="1" m="1" x="8"/>
        <item h="1" m="1" x="19"/>
        <item h="1" m="1" x="18"/>
        <item h="1" m="1" x="22"/>
        <item h="1" m="1" x="10"/>
        <item h="1" x="0"/>
        <item x="1"/>
        <item h="1" x="2"/>
        <item h="1" x="3"/>
        <item h="1" x="4"/>
        <item t="default"/>
      </items>
    </pivotField>
    <pivotField showAll="0"/>
    <pivotField showAll="0"/>
    <pivotField dataField="1" showAll="0"/>
    <pivotField showAll="0"/>
    <pivotField showAll="0"/>
    <pivotField showAll="0"/>
  </pivotFields>
  <rowFields count="1">
    <field x="3"/>
  </rowFields>
  <rowItems count="1">
    <i t="grand">
      <x/>
    </i>
  </rowItems>
  <colFields count="1">
    <field x="9"/>
  </colFields>
  <colItems count="1">
    <i t="grand">
      <x/>
    </i>
  </colItems>
  <dataFields count="1">
    <dataField name="Average of Attainment" fld="12" subtotal="average" baseField="3" baseItem="1" numFmtId="9"/>
  </dataFields>
  <chartFormats count="12">
    <chartFormat chart="0" format="0" series="1">
      <pivotArea type="data" outline="0" fieldPosition="0">
        <references count="2">
          <reference field="4294967294" count="1" selected="0">
            <x v="0"/>
          </reference>
          <reference field="9" count="1" selected="0">
            <x v="0"/>
          </reference>
        </references>
      </pivotArea>
    </chartFormat>
    <chartFormat chart="2" format="2" series="1">
      <pivotArea type="data" outline="0" fieldPosition="0">
        <references count="2">
          <reference field="4294967294" count="1" selected="0">
            <x v="0"/>
          </reference>
          <reference field="9" count="1" selected="0">
            <x v="0"/>
          </reference>
        </references>
      </pivotArea>
    </chartFormat>
    <chartFormat chart="3" format="0" series="1">
      <pivotArea type="data" outline="0" fieldPosition="0">
        <references count="2">
          <reference field="4294967294" count="1" selected="0">
            <x v="0"/>
          </reference>
          <reference field="9" count="1" selected="0">
            <x v="1"/>
          </reference>
        </references>
      </pivotArea>
    </chartFormat>
    <chartFormat chart="9" format="2" series="1">
      <pivotArea type="data" outline="0" fieldPosition="0">
        <references count="2">
          <reference field="4294967294" count="1" selected="0">
            <x v="0"/>
          </reference>
          <reference field="9" count="1" selected="0">
            <x v="1"/>
          </reference>
        </references>
      </pivotArea>
    </chartFormat>
    <chartFormat chart="3" format="1" series="1">
      <pivotArea type="data" outline="0" fieldPosition="0">
        <references count="1">
          <reference field="4294967294" count="1" selected="0">
            <x v="0"/>
          </reference>
        </references>
      </pivotArea>
    </chartFormat>
    <chartFormat chart="9" format="3" series="1">
      <pivotArea type="data" outline="0" fieldPosition="0">
        <references count="2">
          <reference field="4294967294" count="1" selected="0">
            <x v="0"/>
          </reference>
          <reference field="9" count="1" selected="0">
            <x v="11"/>
          </reference>
        </references>
      </pivotArea>
    </chartFormat>
    <chartFormat chart="15" format="3" series="1">
      <pivotArea type="data" outline="0" fieldPosition="0">
        <references count="2">
          <reference field="4294967294" count="1" selected="0">
            <x v="0"/>
          </reference>
          <reference field="9" count="1" selected="0">
            <x v="11"/>
          </reference>
        </references>
      </pivotArea>
    </chartFormat>
    <chartFormat chart="15" format="4"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 chart="15" format="5" series="1">
      <pivotArea type="data" outline="0" fieldPosition="0">
        <references count="2">
          <reference field="4294967294" count="1" selected="0">
            <x v="0"/>
          </reference>
          <reference field="9" count="1" selected="0">
            <x v="20"/>
          </reference>
        </references>
      </pivotArea>
    </chartFormat>
    <chartFormat chart="9" format="5" series="1">
      <pivotArea type="data" outline="0" fieldPosition="0">
        <references count="2">
          <reference field="4294967294" count="1" selected="0">
            <x v="0"/>
          </reference>
          <reference field="9" count="1" selected="0">
            <x v="20"/>
          </reference>
        </references>
      </pivotArea>
    </chartFormat>
    <chartFormat chart="3" format="2" series="1">
      <pivotArea type="data" outline="0" fieldPosition="0">
        <references count="2">
          <reference field="4294967294" count="1" selected="0">
            <x v="0"/>
          </reference>
          <reference field="9" count="1" selected="0">
            <x v="2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0" cacheId="32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4">
  <location ref="A136:B138" firstHeaderRow="1" firstDataRow="2" firstDataCol="1"/>
  <pivotFields count="16">
    <pivotField showAll="0"/>
    <pivotField showAll="0"/>
    <pivotField showAll="0"/>
    <pivotField axis="axisRow" numFmtId="17" showAll="0">
      <items count="20">
        <item h="1" x="6"/>
        <item h="1" m="1" x="17"/>
        <item h="1" m="1" x="14"/>
        <item h="1" m="1" x="15"/>
        <item h="1" m="1" x="13"/>
        <item h="1" m="1" x="12"/>
        <item h="1" m="1" x="11"/>
        <item h="1" m="1" x="10"/>
        <item h="1" m="1" x="9"/>
        <item h="1" x="1"/>
        <item h="1" x="2"/>
        <item h="1" x="3"/>
        <item h="1" x="4"/>
        <item h="1" x="5"/>
        <item m="1" x="16"/>
        <item h="1" m="1" x="8"/>
        <item h="1" m="1" x="7"/>
        <item h="1" m="1" x="18"/>
        <item h="1" x="0"/>
        <item t="default"/>
      </items>
    </pivotField>
    <pivotField showAll="0"/>
    <pivotField showAll="0"/>
    <pivotField showAll="0"/>
    <pivotField showAll="0"/>
    <pivotField showAll="0"/>
    <pivotField axis="axisCol" showAll="0">
      <items count="25">
        <item h="1" m="1" x="21"/>
        <item h="1" m="1" x="17"/>
        <item h="1" m="1" x="13"/>
        <item h="1" m="1" x="6"/>
        <item h="1" m="1" x="14"/>
        <item h="1" m="1" x="15"/>
        <item h="1" m="1" x="9"/>
        <item h="1" m="1" x="20"/>
        <item h="1" m="1" x="7"/>
        <item h="1" x="5"/>
        <item h="1" m="1" x="16"/>
        <item h="1" m="1" x="11"/>
        <item h="1" m="1" x="23"/>
        <item h="1" m="1" x="12"/>
        <item h="1" m="1" x="8"/>
        <item h="1" m="1" x="19"/>
        <item h="1" m="1" x="18"/>
        <item m="1" x="22"/>
        <item h="1" m="1" x="10"/>
        <item h="1" x="0"/>
        <item h="1" x="1"/>
        <item h="1" x="2"/>
        <item h="1" x="3"/>
        <item h="1" x="4"/>
        <item t="default"/>
      </items>
    </pivotField>
    <pivotField showAll="0"/>
    <pivotField showAll="0"/>
    <pivotField dataField="1" showAll="0"/>
    <pivotField showAll="0"/>
    <pivotField showAll="0"/>
    <pivotField showAll="0"/>
  </pivotFields>
  <rowFields count="1">
    <field x="3"/>
  </rowFields>
  <rowItems count="1">
    <i t="grand">
      <x/>
    </i>
  </rowItems>
  <colFields count="1">
    <field x="9"/>
  </colFields>
  <colItems count="1">
    <i t="grand">
      <x/>
    </i>
  </colItems>
  <dataFields count="1">
    <dataField name="Average of Attainment" fld="12" subtotal="average" baseField="3" baseItem="1" numFmtId="9"/>
  </dataFields>
  <chartFormats count="10">
    <chartFormat chart="0" format="0" series="1">
      <pivotArea type="data" outline="0" fieldPosition="0">
        <references count="2">
          <reference field="4294967294" count="1" selected="0">
            <x v="0"/>
          </reference>
          <reference field="9" count="1" selected="0">
            <x v="0"/>
          </reference>
        </references>
      </pivotArea>
    </chartFormat>
    <chartFormat chart="2" format="2" series="1">
      <pivotArea type="data" outline="0" fieldPosition="0">
        <references count="2">
          <reference field="4294967294" count="1" selected="0">
            <x v="0"/>
          </reference>
          <reference field="9" count="1" selected="0">
            <x v="0"/>
          </reference>
        </references>
      </pivotArea>
    </chartFormat>
    <chartFormat chart="3" format="0" series="1">
      <pivotArea type="data" outline="0" fieldPosition="0">
        <references count="2">
          <reference field="4294967294" count="1" selected="0">
            <x v="0"/>
          </reference>
          <reference field="9" count="1" selected="0">
            <x v="1"/>
          </reference>
        </references>
      </pivotArea>
    </chartFormat>
    <chartFormat chart="4" format="0" series="1">
      <pivotArea type="data" outline="0" fieldPosition="0">
        <references count="2">
          <reference field="4294967294" count="1" selected="0">
            <x v="0"/>
          </reference>
          <reference field="9" count="1" selected="0">
            <x v="2"/>
          </reference>
        </references>
      </pivotArea>
    </chartFormat>
    <chartFormat chart="5" format="0" series="1">
      <pivotArea type="data" outline="0" fieldPosition="0">
        <references count="2">
          <reference field="4294967294" count="1" selected="0">
            <x v="0"/>
          </reference>
          <reference field="9" count="1" selected="0">
            <x v="3"/>
          </reference>
        </references>
      </pivotArea>
    </chartFormat>
    <chartFormat chart="6" format="0" series="1">
      <pivotArea type="data" outline="0" fieldPosition="0">
        <references count="2">
          <reference field="4294967294" count="1" selected="0">
            <x v="0"/>
          </reference>
          <reference field="9" count="1" selected="0">
            <x v="4"/>
          </reference>
        </references>
      </pivotArea>
    </chartFormat>
    <chartFormat chart="7" format="0" series="1">
      <pivotArea type="data" outline="0" fieldPosition="0">
        <references count="2">
          <reference field="4294967294" count="1" selected="0">
            <x v="0"/>
          </reference>
          <reference field="9" count="1" selected="0">
            <x v="5"/>
          </reference>
        </references>
      </pivotArea>
    </chartFormat>
    <chartFormat chart="8" format="0" series="1">
      <pivotArea type="data" outline="0" fieldPosition="0">
        <references count="2">
          <reference field="4294967294" count="1" selected="0">
            <x v="0"/>
          </reference>
          <reference field="9" count="1" selected="0">
            <x v="6"/>
          </reference>
        </references>
      </pivotArea>
    </chartFormat>
    <chartFormat chart="9" format="0" series="1">
      <pivotArea type="data" outline="0" fieldPosition="0">
        <references count="2">
          <reference field="4294967294" count="1" selected="0">
            <x v="0"/>
          </reference>
          <reference field="9" count="1" selected="0">
            <x v="7"/>
          </reference>
        </references>
      </pivotArea>
    </chartFormat>
    <chartFormat chart="9"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11" cacheId="32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location ref="A155:B157" firstHeaderRow="1" firstDataRow="2" firstDataCol="1"/>
  <pivotFields count="16">
    <pivotField showAll="0"/>
    <pivotField showAll="0"/>
    <pivotField showAll="0"/>
    <pivotField axis="axisRow" numFmtId="17" showAll="0">
      <items count="20">
        <item h="1" x="6"/>
        <item h="1" m="1" x="17"/>
        <item h="1" m="1" x="14"/>
        <item h="1" m="1" x="15"/>
        <item h="1" m="1" x="13"/>
        <item h="1" m="1" x="12"/>
        <item h="1" m="1" x="11"/>
        <item h="1" m="1" x="10"/>
        <item h="1" m="1" x="9"/>
        <item h="1" x="1"/>
        <item h="1" x="2"/>
        <item h="1" x="3"/>
        <item h="1" x="4"/>
        <item h="1" x="5"/>
        <item m="1" x="16"/>
        <item h="1" m="1" x="8"/>
        <item h="1" m="1" x="7"/>
        <item h="1" m="1" x="18"/>
        <item h="1" x="0"/>
        <item t="default"/>
      </items>
    </pivotField>
    <pivotField showAll="0"/>
    <pivotField showAll="0"/>
    <pivotField showAll="0"/>
    <pivotField showAll="0"/>
    <pivotField showAll="0"/>
    <pivotField axis="axisCol" showAll="0">
      <items count="25">
        <item h="1" m="1" x="21"/>
        <item h="1" m="1" x="17"/>
        <item h="1" m="1" x="13"/>
        <item h="1" m="1" x="6"/>
        <item h="1" m="1" x="14"/>
        <item h="1" m="1" x="15"/>
        <item h="1" m="1" x="9"/>
        <item h="1" m="1" x="20"/>
        <item h="1" m="1" x="7"/>
        <item h="1" x="5"/>
        <item h="1" m="1" x="16"/>
        <item h="1" m="1" x="11"/>
        <item h="1" m="1" x="23"/>
        <item h="1" m="1" x="12"/>
        <item h="1" m="1" x="8"/>
        <item h="1" m="1" x="19"/>
        <item h="1" m="1" x="18"/>
        <item h="1" m="1" x="22"/>
        <item m="1" x="10"/>
        <item h="1" x="0"/>
        <item h="1" x="1"/>
        <item h="1" x="2"/>
        <item h="1" x="3"/>
        <item h="1" x="4"/>
        <item t="default"/>
      </items>
    </pivotField>
    <pivotField showAll="0"/>
    <pivotField showAll="0"/>
    <pivotField dataField="1" showAll="0"/>
    <pivotField showAll="0"/>
    <pivotField showAll="0"/>
    <pivotField showAll="0"/>
  </pivotFields>
  <rowFields count="1">
    <field x="3"/>
  </rowFields>
  <rowItems count="1">
    <i t="grand">
      <x/>
    </i>
  </rowItems>
  <colFields count="1">
    <field x="9"/>
  </colFields>
  <colItems count="1">
    <i t="grand">
      <x/>
    </i>
  </colItems>
  <dataFields count="1">
    <dataField name="Average of Attainment" fld="12" subtotal="average" baseField="3" baseItem="1" numFmtId="9"/>
  </dataFields>
  <chartFormats count="11">
    <chartFormat chart="0" format="0" series="1">
      <pivotArea type="data" outline="0" fieldPosition="0">
        <references count="2">
          <reference field="4294967294" count="1" selected="0">
            <x v="0"/>
          </reference>
          <reference field="9" count="1" selected="0">
            <x v="0"/>
          </reference>
        </references>
      </pivotArea>
    </chartFormat>
    <chartFormat chart="2" format="2" series="1">
      <pivotArea type="data" outline="0" fieldPosition="0">
        <references count="2">
          <reference field="4294967294" count="1" selected="0">
            <x v="0"/>
          </reference>
          <reference field="9" count="1" selected="0">
            <x v="0"/>
          </reference>
        </references>
      </pivotArea>
    </chartFormat>
    <chartFormat chart="3" format="0" series="1">
      <pivotArea type="data" outline="0" fieldPosition="0">
        <references count="2">
          <reference field="4294967294" count="1" selected="0">
            <x v="0"/>
          </reference>
          <reference field="9" count="1" selected="0">
            <x v="1"/>
          </reference>
        </references>
      </pivotArea>
    </chartFormat>
    <chartFormat chart="4" format="0" series="1">
      <pivotArea type="data" outline="0" fieldPosition="0">
        <references count="2">
          <reference field="4294967294" count="1" selected="0">
            <x v="0"/>
          </reference>
          <reference field="9" count="1" selected="0">
            <x v="2"/>
          </reference>
        </references>
      </pivotArea>
    </chartFormat>
    <chartFormat chart="5" format="0" series="1">
      <pivotArea type="data" outline="0" fieldPosition="0">
        <references count="2">
          <reference field="4294967294" count="1" selected="0">
            <x v="0"/>
          </reference>
          <reference field="9" count="1" selected="0">
            <x v="3"/>
          </reference>
        </references>
      </pivotArea>
    </chartFormat>
    <chartFormat chart="6" format="0" series="1">
      <pivotArea type="data" outline="0" fieldPosition="0">
        <references count="2">
          <reference field="4294967294" count="1" selected="0">
            <x v="0"/>
          </reference>
          <reference field="9" count="1" selected="0">
            <x v="4"/>
          </reference>
        </references>
      </pivotArea>
    </chartFormat>
    <chartFormat chart="7" format="0" series="1">
      <pivotArea type="data" outline="0" fieldPosition="0">
        <references count="2">
          <reference field="4294967294" count="1" selected="0">
            <x v="0"/>
          </reference>
          <reference field="9" count="1" selected="0">
            <x v="5"/>
          </reference>
        </references>
      </pivotArea>
    </chartFormat>
    <chartFormat chart="8" format="0" series="1">
      <pivotArea type="data" outline="0" fieldPosition="0">
        <references count="2">
          <reference field="4294967294" count="1" selected="0">
            <x v="0"/>
          </reference>
          <reference field="9" count="1" selected="0">
            <x v="6"/>
          </reference>
        </references>
      </pivotArea>
    </chartFormat>
    <chartFormat chart="9" format="0" series="1">
      <pivotArea type="data" outline="0" fieldPosition="0">
        <references count="2">
          <reference field="4294967294" count="1" selected="0">
            <x v="0"/>
          </reference>
          <reference field="9" count="1" selected="0">
            <x v="7"/>
          </reference>
        </references>
      </pivotArea>
    </chartFormat>
    <chartFormat chart="10" format="0" series="1">
      <pivotArea type="data" outline="0" fieldPosition="0">
        <references count="2">
          <reference field="4294967294" count="1" selected="0">
            <x v="0"/>
          </reference>
          <reference field="9" count="1" selected="0">
            <x v="8"/>
          </reference>
        </references>
      </pivotArea>
    </chartFormat>
    <chartFormat chart="1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200-000004000000}" name="PivotTable5" cacheId="32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location ref="A41:B43" firstHeaderRow="1" firstDataRow="2" firstDataCol="1"/>
  <pivotFields count="16">
    <pivotField showAll="0"/>
    <pivotField showAll="0"/>
    <pivotField showAll="0"/>
    <pivotField axis="axisRow" numFmtId="17" showAll="0">
      <items count="20">
        <item h="1" x="6"/>
        <item h="1" m="1" x="17"/>
        <item h="1" m="1" x="14"/>
        <item h="1" m="1" x="15"/>
        <item h="1" m="1" x="13"/>
        <item h="1" m="1" x="12"/>
        <item h="1" m="1" x="11"/>
        <item h="1" m="1" x="10"/>
        <item h="1" m="1" x="9"/>
        <item n="02/1/2021" h="1" x="1"/>
        <item h="1" x="2"/>
        <item h="1" x="3"/>
        <item h="1" x="4"/>
        <item h="1" x="5"/>
        <item m="1" x="16"/>
        <item h="1" m="1" x="8"/>
        <item h="1" m="1" x="7"/>
        <item h="1" m="1" x="18"/>
        <item h="1" x="0"/>
        <item t="default"/>
      </items>
    </pivotField>
    <pivotField showAll="0"/>
    <pivotField showAll="0"/>
    <pivotField showAll="0"/>
    <pivotField showAll="0"/>
    <pivotField showAll="0"/>
    <pivotField axis="axisCol" showAll="0">
      <items count="25">
        <item h="1" m="1" x="21"/>
        <item h="1" m="1" x="17"/>
        <item h="1" m="1" x="13"/>
        <item h="1" m="1" x="6"/>
        <item h="1" m="1" x="14"/>
        <item h="1" m="1" x="15"/>
        <item h="1" m="1" x="9"/>
        <item h="1" m="1" x="20"/>
        <item h="1" m="1" x="7"/>
        <item h="1" x="5"/>
        <item h="1" m="1" x="16"/>
        <item h="1" m="1" x="11"/>
        <item h="1" m="1" x="23"/>
        <item h="1" m="1" x="12"/>
        <item h="1" m="1" x="8"/>
        <item h="1" m="1" x="19"/>
        <item h="1" m="1" x="18"/>
        <item h="1" m="1" x="22"/>
        <item h="1" m="1" x="10"/>
        <item h="1" x="0"/>
        <item h="1" x="1"/>
        <item x="2"/>
        <item h="1" x="3"/>
        <item h="1" x="4"/>
        <item t="default"/>
      </items>
    </pivotField>
    <pivotField showAll="0"/>
    <pivotField showAll="0"/>
    <pivotField dataField="1" showAll="0"/>
    <pivotField showAll="0"/>
    <pivotField showAll="0"/>
    <pivotField showAll="0"/>
  </pivotFields>
  <rowFields count="1">
    <field x="3"/>
  </rowFields>
  <rowItems count="1">
    <i t="grand">
      <x/>
    </i>
  </rowItems>
  <colFields count="1">
    <field x="9"/>
  </colFields>
  <colItems count="1">
    <i t="grand">
      <x/>
    </i>
  </colItems>
  <dataFields count="1">
    <dataField name="Average of Attainment" fld="12" subtotal="average" baseField="3" baseItem="1" numFmtId="9"/>
  </dataFields>
  <chartFormats count="9">
    <chartFormat chart="0" format="0" series="1">
      <pivotArea type="data" outline="0" fieldPosition="0">
        <references count="2">
          <reference field="4294967294" count="1" selected="0">
            <x v="0"/>
          </reference>
          <reference field="9" count="1" selected="0">
            <x v="0"/>
          </reference>
        </references>
      </pivotArea>
    </chartFormat>
    <chartFormat chart="2" format="2" series="1">
      <pivotArea type="data" outline="0" fieldPosition="0">
        <references count="2">
          <reference field="4294967294" count="1" selected="0">
            <x v="0"/>
          </reference>
          <reference field="9" count="1" selected="0">
            <x v="0"/>
          </reference>
        </references>
      </pivotArea>
    </chartFormat>
    <chartFormat chart="3" format="0" series="1">
      <pivotArea type="data" outline="0" fieldPosition="0">
        <references count="2">
          <reference field="4294967294" count="1" selected="0">
            <x v="0"/>
          </reference>
          <reference field="9" count="1" selected="0">
            <x v="1"/>
          </reference>
        </references>
      </pivotArea>
    </chartFormat>
    <chartFormat chart="4" format="0" series="1">
      <pivotArea type="data" outline="0" fieldPosition="0">
        <references count="2">
          <reference field="4294967294" count="1" selected="0">
            <x v="0"/>
          </reference>
          <reference field="9" count="1" selected="0">
            <x v="2"/>
          </reference>
        </references>
      </pivotArea>
    </chartFormat>
    <chartFormat chart="10" format="2" series="1">
      <pivotArea type="data" outline="0" fieldPosition="0">
        <references count="2">
          <reference field="4294967294" count="1" selected="0">
            <x v="0"/>
          </reference>
          <reference field="9" count="1" selected="0">
            <x v="2"/>
          </reference>
        </references>
      </pivotArea>
    </chartFormat>
    <chartFormat chart="10" format="3"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0"/>
          </reference>
        </references>
      </pivotArea>
    </chartFormat>
    <chartFormat chart="10" format="4" series="1">
      <pivotArea type="data" outline="0" fieldPosition="0">
        <references count="2">
          <reference field="4294967294" count="1" selected="0">
            <x v="0"/>
          </reference>
          <reference field="9" count="1" selected="0">
            <x v="21"/>
          </reference>
        </references>
      </pivotArea>
    </chartFormat>
    <chartFormat chart="4" format="2" series="1">
      <pivotArea type="data" outline="0" fieldPosition="0">
        <references count="2">
          <reference field="4294967294" count="1" selected="0">
            <x v="0"/>
          </reference>
          <reference field="9" count="1" selected="0">
            <x v="2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200-000005000000}" name="PivotTable6" cacheId="32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0">
  <location ref="A60:B62" firstHeaderRow="1" firstDataRow="2" firstDataCol="1"/>
  <pivotFields count="16">
    <pivotField showAll="0"/>
    <pivotField showAll="0"/>
    <pivotField showAll="0"/>
    <pivotField axis="axisRow" numFmtId="17" showAll="0">
      <items count="20">
        <item h="1" x="6"/>
        <item h="1" m="1" x="17"/>
        <item h="1" m="1" x="14"/>
        <item h="1" m="1" x="15"/>
        <item h="1" m="1" x="13"/>
        <item h="1" m="1" x="12"/>
        <item h="1" m="1" x="11"/>
        <item h="1" m="1" x="10"/>
        <item h="1" m="1" x="9"/>
        <item n="02/1/2021" h="1" x="1"/>
        <item h="1" x="2"/>
        <item h="1" x="3"/>
        <item h="1" x="4"/>
        <item h="1" x="5"/>
        <item m="1" x="16"/>
        <item h="1" m="1" x="8"/>
        <item h="1" m="1" x="7"/>
        <item h="1" m="1" x="18"/>
        <item h="1" x="0"/>
        <item t="default"/>
      </items>
    </pivotField>
    <pivotField showAll="0"/>
    <pivotField showAll="0"/>
    <pivotField showAll="0"/>
    <pivotField showAll="0"/>
    <pivotField showAll="0"/>
    <pivotField axis="axisCol" showAll="0">
      <items count="25">
        <item h="1" m="1" x="21"/>
        <item h="1" m="1" x="17"/>
        <item h="1" m="1" x="13"/>
        <item h="1" m="1" x="6"/>
        <item h="1" m="1" x="14"/>
        <item h="1" m="1" x="15"/>
        <item h="1" m="1" x="9"/>
        <item h="1" m="1" x="20"/>
        <item h="1" m="1" x="7"/>
        <item h="1" x="5"/>
        <item h="1" m="1" x="16"/>
        <item h="1" m="1" x="11"/>
        <item h="1" m="1" x="23"/>
        <item h="1" m="1" x="12"/>
        <item h="1" m="1" x="8"/>
        <item h="1" m="1" x="19"/>
        <item h="1" m="1" x="18"/>
        <item h="1" m="1" x="22"/>
        <item h="1" m="1" x="10"/>
        <item h="1" x="0"/>
        <item h="1" x="1"/>
        <item h="1" x="2"/>
        <item x="3"/>
        <item h="1" x="4"/>
        <item t="default"/>
      </items>
    </pivotField>
    <pivotField showAll="0"/>
    <pivotField showAll="0"/>
    <pivotField dataField="1" showAll="0"/>
    <pivotField showAll="0"/>
    <pivotField showAll="0"/>
    <pivotField showAll="0"/>
  </pivotFields>
  <rowFields count="1">
    <field x="3"/>
  </rowFields>
  <rowItems count="1">
    <i t="grand">
      <x/>
    </i>
  </rowItems>
  <colFields count="1">
    <field x="9"/>
  </colFields>
  <colItems count="1">
    <i t="grand">
      <x/>
    </i>
  </colItems>
  <dataFields count="1">
    <dataField name="Average of Attainment" fld="12" subtotal="average" baseField="3" baseItem="1" numFmtId="9"/>
  </dataFields>
  <chartFormats count="10">
    <chartFormat chart="0" format="0" series="1">
      <pivotArea type="data" outline="0" fieldPosition="0">
        <references count="2">
          <reference field="4294967294" count="1" selected="0">
            <x v="0"/>
          </reference>
          <reference field="9" count="1" selected="0">
            <x v="0"/>
          </reference>
        </references>
      </pivotArea>
    </chartFormat>
    <chartFormat chart="2" format="2" series="1">
      <pivotArea type="data" outline="0" fieldPosition="0">
        <references count="2">
          <reference field="4294967294" count="1" selected="0">
            <x v="0"/>
          </reference>
          <reference field="9" count="1" selected="0">
            <x v="0"/>
          </reference>
        </references>
      </pivotArea>
    </chartFormat>
    <chartFormat chart="3" format="0" series="1">
      <pivotArea type="data" outline="0" fieldPosition="0">
        <references count="2">
          <reference field="4294967294" count="1" selected="0">
            <x v="0"/>
          </reference>
          <reference field="9" count="1" selected="0">
            <x v="1"/>
          </reference>
        </references>
      </pivotArea>
    </chartFormat>
    <chartFormat chart="4" format="0" series="1">
      <pivotArea type="data" outline="0" fieldPosition="0">
        <references count="2">
          <reference field="4294967294" count="1" selected="0">
            <x v="0"/>
          </reference>
          <reference field="9" count="1" selected="0">
            <x v="2"/>
          </reference>
        </references>
      </pivotArea>
    </chartFormat>
    <chartFormat chart="5" format="0" series="1">
      <pivotArea type="data" outline="0" fieldPosition="0">
        <references count="2">
          <reference field="4294967294" count="1" selected="0">
            <x v="0"/>
          </reference>
          <reference field="9" count="1" selected="0">
            <x v="3"/>
          </reference>
        </references>
      </pivotArea>
    </chartFormat>
    <chartFormat chart="9" format="2" series="1">
      <pivotArea type="data" outline="0" fieldPosition="0">
        <references count="2">
          <reference field="4294967294" count="1" selected="0">
            <x v="0"/>
          </reference>
          <reference field="9" count="1" selected="0">
            <x v="3"/>
          </reference>
        </references>
      </pivotArea>
    </chartFormat>
    <chartFormat chart="9" format="3"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0"/>
          </reference>
        </references>
      </pivotArea>
    </chartFormat>
    <chartFormat chart="9" format="4" series="1">
      <pivotArea type="data" outline="0" fieldPosition="0">
        <references count="2">
          <reference field="4294967294" count="1" selected="0">
            <x v="0"/>
          </reference>
          <reference field="9" count="1" selected="0">
            <x v="22"/>
          </reference>
        </references>
      </pivotArea>
    </chartFormat>
    <chartFormat chart="5" format="2" series="1">
      <pivotArea type="data" outline="0" fieldPosition="0">
        <references count="2">
          <reference field="4294967294" count="1" selected="0">
            <x v="0"/>
          </reference>
          <reference field="9" count="1" selected="0">
            <x v="2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200-000006000000}" name="PivotTable7" cacheId="32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location ref="A79:B81" firstHeaderRow="1" firstDataRow="2" firstDataCol="1"/>
  <pivotFields count="16">
    <pivotField showAll="0"/>
    <pivotField showAll="0"/>
    <pivotField showAll="0"/>
    <pivotField axis="axisRow" numFmtId="17" showAll="0">
      <items count="20">
        <item h="1" x="6"/>
        <item h="1" m="1" x="17"/>
        <item h="1" m="1" x="14"/>
        <item h="1" m="1" x="15"/>
        <item h="1" m="1" x="13"/>
        <item h="1" m="1" x="12"/>
        <item h="1" m="1" x="11"/>
        <item h="1" m="1" x="10"/>
        <item h="1" m="1" x="9"/>
        <item n="02/1/2021" h="1" x="1"/>
        <item h="1" x="2"/>
        <item h="1" x="3"/>
        <item h="1" x="4"/>
        <item h="1" x="5"/>
        <item m="1" x="16"/>
        <item h="1" m="1" x="8"/>
        <item h="1" m="1" x="7"/>
        <item h="1" m="1" x="18"/>
        <item h="1" x="0"/>
        <item t="default"/>
      </items>
    </pivotField>
    <pivotField showAll="0"/>
    <pivotField showAll="0"/>
    <pivotField showAll="0"/>
    <pivotField showAll="0"/>
    <pivotField showAll="0"/>
    <pivotField axis="axisCol" showAll="0">
      <items count="25">
        <item h="1" m="1" x="21"/>
        <item h="1" m="1" x="17"/>
        <item h="1" m="1" x="13"/>
        <item h="1" m="1" x="6"/>
        <item h="1" m="1" x="14"/>
        <item h="1" m="1" x="15"/>
        <item h="1" m="1" x="9"/>
        <item h="1" m="1" x="20"/>
        <item h="1" m="1" x="7"/>
        <item h="1" x="5"/>
        <item h="1" m="1" x="16"/>
        <item h="1" m="1" x="11"/>
        <item h="1" m="1" x="23"/>
        <item h="1" m="1" x="12"/>
        <item h="1" m="1" x="8"/>
        <item h="1" m="1" x="19"/>
        <item h="1" m="1" x="18"/>
        <item h="1" m="1" x="22"/>
        <item h="1" m="1" x="10"/>
        <item h="1" x="0"/>
        <item h="1" x="1"/>
        <item h="1" x="2"/>
        <item h="1" x="3"/>
        <item x="4"/>
        <item t="default"/>
      </items>
    </pivotField>
    <pivotField showAll="0"/>
    <pivotField showAll="0"/>
    <pivotField dataField="1" showAll="0"/>
    <pivotField showAll="0"/>
    <pivotField showAll="0"/>
    <pivotField showAll="0"/>
  </pivotFields>
  <rowFields count="1">
    <field x="3"/>
  </rowFields>
  <rowItems count="1">
    <i t="grand">
      <x/>
    </i>
  </rowItems>
  <colFields count="1">
    <field x="9"/>
  </colFields>
  <colItems count="1">
    <i t="grand">
      <x/>
    </i>
  </colItems>
  <dataFields count="1">
    <dataField name="Average of Attainment" fld="12" subtotal="average" baseField="3" baseItem="1" numFmtId="9"/>
  </dataFields>
  <chartFormats count="11">
    <chartFormat chart="0" format="0" series="1">
      <pivotArea type="data" outline="0" fieldPosition="0">
        <references count="2">
          <reference field="4294967294" count="1" selected="0">
            <x v="0"/>
          </reference>
          <reference field="9" count="1" selected="0">
            <x v="0"/>
          </reference>
        </references>
      </pivotArea>
    </chartFormat>
    <chartFormat chart="2" format="2" series="1">
      <pivotArea type="data" outline="0" fieldPosition="0">
        <references count="2">
          <reference field="4294967294" count="1" selected="0">
            <x v="0"/>
          </reference>
          <reference field="9" count="1" selected="0">
            <x v="0"/>
          </reference>
        </references>
      </pivotArea>
    </chartFormat>
    <chartFormat chart="3" format="0" series="1">
      <pivotArea type="data" outline="0" fieldPosition="0">
        <references count="2">
          <reference field="4294967294" count="1" selected="0">
            <x v="0"/>
          </reference>
          <reference field="9" count="1" selected="0">
            <x v="1"/>
          </reference>
        </references>
      </pivotArea>
    </chartFormat>
    <chartFormat chart="4" format="0" series="1">
      <pivotArea type="data" outline="0" fieldPosition="0">
        <references count="2">
          <reference field="4294967294" count="1" selected="0">
            <x v="0"/>
          </reference>
          <reference field="9" count="1" selected="0">
            <x v="2"/>
          </reference>
        </references>
      </pivotArea>
    </chartFormat>
    <chartFormat chart="5" format="0" series="1">
      <pivotArea type="data" outline="0" fieldPosition="0">
        <references count="2">
          <reference field="4294967294" count="1" selected="0">
            <x v="0"/>
          </reference>
          <reference field="9" count="1" selected="0">
            <x v="3"/>
          </reference>
        </references>
      </pivotArea>
    </chartFormat>
    <chartFormat chart="6" format="0" series="1">
      <pivotArea type="data" outline="0" fieldPosition="0">
        <references count="2">
          <reference field="4294967294" count="1" selected="0">
            <x v="0"/>
          </reference>
          <reference field="9" count="1" selected="0">
            <x v="4"/>
          </reference>
        </references>
      </pivotArea>
    </chartFormat>
    <chartFormat chart="10" format="2" series="1">
      <pivotArea type="data" outline="0" fieldPosition="0">
        <references count="2">
          <reference field="4294967294" count="1" selected="0">
            <x v="0"/>
          </reference>
          <reference field="9" count="1" selected="0">
            <x v="4"/>
          </reference>
        </references>
      </pivotArea>
    </chartFormat>
    <chartFormat chart="10" format="3"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0"/>
          </reference>
        </references>
      </pivotArea>
    </chartFormat>
    <chartFormat chart="10" format="4" series="1">
      <pivotArea type="data" outline="0" fieldPosition="0">
        <references count="2">
          <reference field="4294967294" count="1" selected="0">
            <x v="0"/>
          </reference>
          <reference field="9" count="1" selected="0">
            <x v="23"/>
          </reference>
        </references>
      </pivotArea>
    </chartFormat>
    <chartFormat chart="6" format="2" series="1">
      <pivotArea type="data" outline="0" fieldPosition="0">
        <references count="2">
          <reference field="4294967294" count="1" selected="0">
            <x v="0"/>
          </reference>
          <reference field="9" count="1" selected="0">
            <x v="2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200-000007000000}" name="PivotTable8" cacheId="32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2">
  <location ref="A98:B100" firstHeaderRow="1" firstDataRow="2" firstDataCol="1"/>
  <pivotFields count="16">
    <pivotField showAll="0"/>
    <pivotField showAll="0"/>
    <pivotField showAll="0"/>
    <pivotField axis="axisRow" numFmtId="17" showAll="0">
      <items count="20">
        <item h="1" x="6"/>
        <item h="1" m="1" x="17"/>
        <item h="1" m="1" x="14"/>
        <item h="1" m="1" x="15"/>
        <item h="1" m="1" x="13"/>
        <item h="1" m="1" x="12"/>
        <item h="1" m="1" x="11"/>
        <item h="1" m="1" x="10"/>
        <item h="1" m="1" x="9"/>
        <item h="1" x="1"/>
        <item h="1" x="2"/>
        <item h="1" x="3"/>
        <item h="1" x="4"/>
        <item h="1" x="5"/>
        <item m="1" x="16"/>
        <item h="1" m="1" x="8"/>
        <item h="1" m="1" x="7"/>
        <item h="1" m="1" x="18"/>
        <item h="1" x="0"/>
        <item t="default"/>
      </items>
    </pivotField>
    <pivotField showAll="0"/>
    <pivotField showAll="0"/>
    <pivotField showAll="0"/>
    <pivotField showAll="0"/>
    <pivotField showAll="0"/>
    <pivotField axis="axisCol" showAll="0">
      <items count="25">
        <item h="1" m="1" x="21"/>
        <item h="1" m="1" x="17"/>
        <item h="1" m="1" x="13"/>
        <item h="1" m="1" x="6"/>
        <item h="1" m="1" x="14"/>
        <item h="1" m="1" x="15"/>
        <item h="1" m="1" x="9"/>
        <item h="1" m="1" x="20"/>
        <item h="1" m="1" x="7"/>
        <item h="1" x="5"/>
        <item h="1" m="1" x="16"/>
        <item h="1" m="1" x="11"/>
        <item h="1" m="1" x="23"/>
        <item h="1" m="1" x="12"/>
        <item h="1" m="1" x="8"/>
        <item m="1" x="19"/>
        <item h="1" m="1" x="18"/>
        <item h="1" m="1" x="22"/>
        <item h="1" m="1" x="10"/>
        <item h="1" x="0"/>
        <item h="1" x="1"/>
        <item h="1" x="2"/>
        <item h="1" x="3"/>
        <item h="1" x="4"/>
        <item t="default"/>
      </items>
    </pivotField>
    <pivotField showAll="0"/>
    <pivotField showAll="0"/>
    <pivotField dataField="1" showAll="0"/>
    <pivotField showAll="0"/>
    <pivotField showAll="0"/>
    <pivotField showAll="0"/>
  </pivotFields>
  <rowFields count="1">
    <field x="3"/>
  </rowFields>
  <rowItems count="1">
    <i t="grand">
      <x/>
    </i>
  </rowItems>
  <colFields count="1">
    <field x="9"/>
  </colFields>
  <colItems count="1">
    <i t="grand">
      <x/>
    </i>
  </colItems>
  <dataFields count="1">
    <dataField name="Average of Attainment" fld="12" subtotal="average" baseField="3" baseItem="1" numFmtId="9"/>
  </dataFields>
  <chartFormats count="8">
    <chartFormat chart="0" format="0" series="1">
      <pivotArea type="data" outline="0" fieldPosition="0">
        <references count="2">
          <reference field="4294967294" count="1" selected="0">
            <x v="0"/>
          </reference>
          <reference field="9" count="1" selected="0">
            <x v="0"/>
          </reference>
        </references>
      </pivotArea>
    </chartFormat>
    <chartFormat chart="2" format="2" series="1">
      <pivotArea type="data" outline="0" fieldPosition="0">
        <references count="2">
          <reference field="4294967294" count="1" selected="0">
            <x v="0"/>
          </reference>
          <reference field="9" count="1" selected="0">
            <x v="0"/>
          </reference>
        </references>
      </pivotArea>
    </chartFormat>
    <chartFormat chart="3" format="0" series="1">
      <pivotArea type="data" outline="0" fieldPosition="0">
        <references count="2">
          <reference field="4294967294" count="1" selected="0">
            <x v="0"/>
          </reference>
          <reference field="9" count="1" selected="0">
            <x v="1"/>
          </reference>
        </references>
      </pivotArea>
    </chartFormat>
    <chartFormat chart="4" format="0" series="1">
      <pivotArea type="data" outline="0" fieldPosition="0">
        <references count="2">
          <reference field="4294967294" count="1" selected="0">
            <x v="0"/>
          </reference>
          <reference field="9" count="1" selected="0">
            <x v="2"/>
          </reference>
        </references>
      </pivotArea>
    </chartFormat>
    <chartFormat chart="5" format="0" series="1">
      <pivotArea type="data" outline="0" fieldPosition="0">
        <references count="2">
          <reference field="4294967294" count="1" selected="0">
            <x v="0"/>
          </reference>
          <reference field="9" count="1" selected="0">
            <x v="3"/>
          </reference>
        </references>
      </pivotArea>
    </chartFormat>
    <chartFormat chart="6" format="0" series="1">
      <pivotArea type="data" outline="0" fieldPosition="0">
        <references count="2">
          <reference field="4294967294" count="1" selected="0">
            <x v="0"/>
          </reference>
          <reference field="9" count="1" selected="0">
            <x v="4"/>
          </reference>
        </references>
      </pivotArea>
    </chartFormat>
    <chartFormat chart="7" format="0" series="1">
      <pivotArea type="data" outline="0" fieldPosition="0">
        <references count="2">
          <reference field="4294967294" count="1" selected="0">
            <x v="0"/>
          </reference>
          <reference field="9" count="1" selected="0">
            <x v="5"/>
          </reference>
        </references>
      </pivotArea>
    </chartFormat>
    <chartFormat chart="7"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3.bin"/><Relationship Id="rId5" Type="http://schemas.openxmlformats.org/officeDocument/2006/relationships/pivotTable" Target="../pivotTables/pivotTable5.xml"/><Relationship Id="rId10" Type="http://schemas.openxmlformats.org/officeDocument/2006/relationships/printerSettings" Target="../printerSettings/printerSettings2.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Z32"/>
  <sheetViews>
    <sheetView workbookViewId="0">
      <selection activeCell="P20" sqref="P20"/>
    </sheetView>
  </sheetViews>
  <sheetFormatPr defaultColWidth="0" defaultRowHeight="15" zeroHeight="1" x14ac:dyDescent="0.25"/>
  <cols>
    <col min="1" max="8" width="7.7109375" style="6" customWidth="1"/>
    <col min="9" max="9" width="7" style="6" customWidth="1"/>
    <col min="10" max="15" width="7.7109375" style="6" customWidth="1"/>
    <col min="16" max="16" width="13.5703125" style="6" customWidth="1"/>
    <col min="17" max="17" width="7.28515625" style="6" customWidth="1"/>
    <col min="18" max="19" width="7.7109375" style="6" customWidth="1"/>
    <col min="20" max="20" width="1.28515625" style="6" customWidth="1"/>
    <col min="21" max="26" width="7.7109375" style="6" customWidth="1"/>
    <col min="27" max="16384" width="9.140625" style="6" hidden="1"/>
  </cols>
  <sheetData>
    <row r="1" spans="10:19" x14ac:dyDescent="0.25"/>
    <row r="2" spans="10:19" x14ac:dyDescent="0.25"/>
    <row r="3" spans="10:19" x14ac:dyDescent="0.25"/>
    <row r="4" spans="10:19" x14ac:dyDescent="0.25"/>
    <row r="5" spans="10:19" x14ac:dyDescent="0.25"/>
    <row r="6" spans="10:19" ht="15" customHeight="1" x14ac:dyDescent="0.25">
      <c r="J6" s="80"/>
      <c r="K6" s="80"/>
      <c r="L6" s="80"/>
      <c r="M6" s="80"/>
      <c r="N6" s="80"/>
      <c r="O6" s="80"/>
      <c r="P6" s="80"/>
      <c r="Q6" s="79"/>
      <c r="R6" s="79"/>
      <c r="S6" s="79"/>
    </row>
    <row r="7" spans="10:19" ht="15" customHeight="1" x14ac:dyDescent="0.25">
      <c r="J7" s="80"/>
      <c r="K7" s="80"/>
      <c r="L7" s="80"/>
      <c r="M7" s="80"/>
      <c r="N7" s="80"/>
      <c r="O7" s="80"/>
      <c r="P7" s="80"/>
      <c r="Q7" s="79"/>
      <c r="R7" s="79"/>
      <c r="S7" s="79"/>
    </row>
    <row r="8" spans="10:19" x14ac:dyDescent="0.25"/>
    <row r="9" spans="10:19" x14ac:dyDescent="0.25"/>
    <row r="10" spans="10:19" x14ac:dyDescent="0.25"/>
    <row r="11" spans="10:19" x14ac:dyDescent="0.25"/>
    <row r="12" spans="10:19" x14ac:dyDescent="0.25"/>
    <row r="13" spans="10:19" x14ac:dyDescent="0.25"/>
    <row r="14" spans="10:19" x14ac:dyDescent="0.25"/>
    <row r="15" spans="10:19" x14ac:dyDescent="0.25"/>
    <row r="16" spans="10:19"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ht="57.75" customHeight="1" x14ac:dyDescent="0.25"/>
    <row r="29" x14ac:dyDescent="0.25"/>
    <row r="30" x14ac:dyDescent="0.25"/>
    <row r="31" x14ac:dyDescent="0.25"/>
    <row r="32" x14ac:dyDescent="0.25"/>
  </sheetData>
  <sheetProtection sheet="1" objects="1" scenarios="1"/>
  <customSheetViews>
    <customSheetView guid="{5D34E837-02BC-48BE-83FB-ACBC50171292}" hiddenRows="1" hiddenColumns="1">
      <selection activeCell="P28" sqref="P28"/>
      <pageMargins left="0.7" right="0.7" top="0.75" bottom="0.75" header="0.3" footer="0.3"/>
    </customSheetView>
  </customSheetViews>
  <mergeCells count="2">
    <mergeCell ref="Q6:S7"/>
    <mergeCell ref="J6:P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A2575"/>
  <sheetViews>
    <sheetView tabSelected="1" zoomScale="106" zoomScaleNormal="106" workbookViewId="0">
      <selection activeCell="C23" sqref="C23"/>
    </sheetView>
  </sheetViews>
  <sheetFormatPr defaultColWidth="9.140625" defaultRowHeight="15" x14ac:dyDescent="0.25"/>
  <cols>
    <col min="1" max="1" width="12.140625" style="68" bestFit="1" customWidth="1"/>
    <col min="2" max="2" width="25.28515625" style="68" bestFit="1" customWidth="1"/>
    <col min="3" max="3" width="27.28515625" style="68" bestFit="1" customWidth="1"/>
    <col min="4" max="4" width="21.42578125" style="68" bestFit="1" customWidth="1"/>
    <col min="5" max="5" width="14.5703125" style="68" bestFit="1" customWidth="1"/>
    <col min="6" max="6" width="13.42578125" style="68" bestFit="1" customWidth="1"/>
    <col min="7" max="7" width="16.42578125" style="68" bestFit="1" customWidth="1"/>
    <col min="8" max="8" width="16.28515625" style="68" bestFit="1" customWidth="1"/>
    <col min="9" max="9" width="12.140625" style="68" bestFit="1" customWidth="1"/>
    <col min="10" max="10" width="17.85546875" style="68" bestFit="1" customWidth="1"/>
    <col min="11" max="11" width="36.85546875" style="68" bestFit="1" customWidth="1"/>
    <col min="12" max="12" width="36" style="68" bestFit="1" customWidth="1"/>
    <col min="13" max="13" width="15.85546875" style="68" bestFit="1" customWidth="1"/>
    <col min="14" max="14" width="30.28515625" style="68" bestFit="1" customWidth="1"/>
    <col min="15" max="15" width="21" style="68" bestFit="1" customWidth="1"/>
    <col min="16" max="16" width="21.5703125" style="68" bestFit="1" customWidth="1"/>
    <col min="17" max="18" width="21.42578125" style="68" hidden="1" customWidth="1"/>
    <col min="19" max="19" width="11" style="68" bestFit="1" customWidth="1"/>
    <col min="20" max="20" width="17.140625" style="68" bestFit="1" customWidth="1"/>
    <col min="21" max="21" width="44.7109375" style="68" customWidth="1"/>
    <col min="22" max="22" width="15.140625" style="68" hidden="1" customWidth="1"/>
    <col min="23" max="23" width="15.85546875" style="70" customWidth="1"/>
  </cols>
  <sheetData>
    <row r="1" spans="1:23" s="54" customFormat="1" x14ac:dyDescent="0.25">
      <c r="A1" s="54" t="s">
        <v>1</v>
      </c>
      <c r="B1" s="54" t="s">
        <v>107</v>
      </c>
      <c r="C1" s="55" t="s">
        <v>30</v>
      </c>
      <c r="D1" s="54" t="s">
        <v>31</v>
      </c>
      <c r="E1" s="54" t="s">
        <v>225</v>
      </c>
      <c r="F1" s="54" t="s">
        <v>4</v>
      </c>
      <c r="G1" s="54" t="s">
        <v>81</v>
      </c>
      <c r="H1" s="54" t="s">
        <v>34</v>
      </c>
      <c r="I1" s="54" t="s">
        <v>35</v>
      </c>
      <c r="J1" s="54" t="s">
        <v>36</v>
      </c>
      <c r="K1" s="55" t="s">
        <v>82</v>
      </c>
      <c r="L1" s="55" t="s">
        <v>83</v>
      </c>
      <c r="M1" s="67" t="s">
        <v>84</v>
      </c>
      <c r="N1" s="54" t="s">
        <v>37</v>
      </c>
      <c r="O1" s="54" t="s">
        <v>38</v>
      </c>
      <c r="P1" s="54" t="s">
        <v>39</v>
      </c>
      <c r="R1" s="66"/>
      <c r="S1" s="66" t="s">
        <v>12</v>
      </c>
      <c r="T1" s="54" t="s">
        <v>226</v>
      </c>
      <c r="U1" s="54" t="s">
        <v>201</v>
      </c>
      <c r="V1" s="54" t="s">
        <v>86</v>
      </c>
      <c r="W1" s="54" t="s">
        <v>86</v>
      </c>
    </row>
    <row r="2" spans="1:23" x14ac:dyDescent="0.25">
      <c r="A2" s="68">
        <v>12</v>
      </c>
      <c r="B2" s="68" t="s">
        <v>233</v>
      </c>
      <c r="C2" s="69">
        <v>44561.846006944441</v>
      </c>
      <c r="D2" s="68" t="s">
        <v>203</v>
      </c>
      <c r="E2" s="68" t="s">
        <v>234</v>
      </c>
      <c r="F2" s="68" t="s">
        <v>49</v>
      </c>
      <c r="G2" s="68" t="s">
        <v>213</v>
      </c>
      <c r="H2" s="68" t="s">
        <v>235</v>
      </c>
      <c r="I2" s="68" t="s">
        <v>215</v>
      </c>
      <c r="J2" s="68">
        <v>247</v>
      </c>
      <c r="K2" s="69">
        <v>44561.84584490741</v>
      </c>
      <c r="L2" s="69">
        <v>44561.845902777779</v>
      </c>
      <c r="M2" s="67">
        <f>MAX(0,$L2-$K2)</f>
        <v>5.7870369346346706E-5</v>
      </c>
      <c r="N2" s="68">
        <v>1</v>
      </c>
      <c r="O2" s="68">
        <v>4</v>
      </c>
      <c r="P2" s="68" t="s">
        <v>150</v>
      </c>
      <c r="R2" s="68" t="s">
        <v>203</v>
      </c>
      <c r="S2" s="68" t="s">
        <v>236</v>
      </c>
      <c r="T2" s="68" t="s">
        <v>237</v>
      </c>
      <c r="U2" s="68" t="s">
        <v>238</v>
      </c>
      <c r="W2" s="70">
        <v>1</v>
      </c>
    </row>
    <row r="3" spans="1:23" x14ac:dyDescent="0.25">
      <c r="A3" s="68">
        <v>1</v>
      </c>
      <c r="B3" s="68" t="s">
        <v>239</v>
      </c>
      <c r="C3" s="69">
        <v>44564.447106481479</v>
      </c>
      <c r="D3" s="68" t="s">
        <v>203</v>
      </c>
      <c r="E3" s="68" t="s">
        <v>240</v>
      </c>
      <c r="F3" s="68" t="s">
        <v>49</v>
      </c>
      <c r="G3" s="68" t="s">
        <v>213</v>
      </c>
      <c r="H3" s="68" t="s">
        <v>235</v>
      </c>
      <c r="I3" s="68" t="s">
        <v>241</v>
      </c>
      <c r="J3" s="68">
        <v>247</v>
      </c>
      <c r="K3" s="69">
        <v>44564.419571759259</v>
      </c>
      <c r="L3" s="69">
        <v>44564.4452662037</v>
      </c>
      <c r="M3" s="67">
        <f>MAX(0,$L3-$K3)</f>
        <v>2.569444444088731E-2</v>
      </c>
      <c r="N3" s="68">
        <v>1</v>
      </c>
      <c r="O3" s="68">
        <v>4</v>
      </c>
      <c r="P3" s="68" t="s">
        <v>242</v>
      </c>
      <c r="R3" s="68" t="s">
        <v>203</v>
      </c>
      <c r="S3" s="68" t="s">
        <v>236</v>
      </c>
      <c r="T3" s="68" t="s">
        <v>243</v>
      </c>
      <c r="U3" s="68" t="s">
        <v>244</v>
      </c>
      <c r="W3" s="70">
        <v>1</v>
      </c>
    </row>
    <row r="4" spans="1:23" x14ac:dyDescent="0.25">
      <c r="A4" s="68">
        <v>1</v>
      </c>
      <c r="B4" s="68" t="s">
        <v>245</v>
      </c>
      <c r="C4" s="69">
        <v>44564.450277777774</v>
      </c>
      <c r="D4" s="68" t="s">
        <v>203</v>
      </c>
      <c r="E4" s="68" t="s">
        <v>246</v>
      </c>
      <c r="F4" s="68" t="s">
        <v>49</v>
      </c>
      <c r="G4" s="68" t="s">
        <v>213</v>
      </c>
      <c r="H4" s="68" t="s">
        <v>235</v>
      </c>
      <c r="I4" s="68" t="s">
        <v>241</v>
      </c>
      <c r="J4" s="68">
        <v>247</v>
      </c>
      <c r="K4" s="69">
        <v>44564.439872685187</v>
      </c>
      <c r="L4" s="69">
        <v>44564.449120370373</v>
      </c>
      <c r="M4" s="67">
        <f>MAX(0,$L4-$K4)</f>
        <v>9.2476851859828457E-3</v>
      </c>
      <c r="N4" s="68">
        <v>1</v>
      </c>
      <c r="O4" s="68">
        <v>4</v>
      </c>
      <c r="P4" s="68" t="s">
        <v>222</v>
      </c>
      <c r="R4" s="68" t="s">
        <v>203</v>
      </c>
      <c r="S4" s="68" t="s">
        <v>236</v>
      </c>
      <c r="T4" s="68" t="s">
        <v>247</v>
      </c>
      <c r="U4" s="68" t="s">
        <v>248</v>
      </c>
      <c r="W4" s="70">
        <v>1</v>
      </c>
    </row>
    <row r="5" spans="1:23" x14ac:dyDescent="0.25">
      <c r="A5" s="68">
        <v>1</v>
      </c>
      <c r="B5" s="68" t="s">
        <v>249</v>
      </c>
      <c r="C5" s="69">
        <v>44564.509166666663</v>
      </c>
      <c r="D5" s="68" t="s">
        <v>203</v>
      </c>
      <c r="E5" s="68" t="s">
        <v>250</v>
      </c>
      <c r="F5" s="68" t="s">
        <v>49</v>
      </c>
      <c r="G5" s="68" t="s">
        <v>213</v>
      </c>
      <c r="H5" s="68" t="s">
        <v>235</v>
      </c>
      <c r="I5" s="68" t="s">
        <v>241</v>
      </c>
      <c r="J5" s="68">
        <v>247</v>
      </c>
      <c r="K5" s="69">
        <v>44564.500127314815</v>
      </c>
      <c r="L5" s="69">
        <v>44564.506678240738</v>
      </c>
      <c r="M5" s="67">
        <f>MAX(0,$L5-$K5)</f>
        <v>6.5509259220561944E-3</v>
      </c>
      <c r="N5" s="68">
        <v>1</v>
      </c>
      <c r="O5" s="68">
        <v>4</v>
      </c>
      <c r="P5" s="68" t="s">
        <v>222</v>
      </c>
      <c r="R5" s="68" t="s">
        <v>203</v>
      </c>
      <c r="S5" s="68" t="s">
        <v>236</v>
      </c>
      <c r="T5" s="68" t="s">
        <v>251</v>
      </c>
      <c r="U5" s="68" t="s">
        <v>252</v>
      </c>
      <c r="W5" s="70">
        <v>1</v>
      </c>
    </row>
    <row r="6" spans="1:23" x14ac:dyDescent="0.25">
      <c r="A6" s="68">
        <v>1</v>
      </c>
      <c r="B6" s="68" t="s">
        <v>253</v>
      </c>
      <c r="C6" s="69">
        <v>44564.525011574071</v>
      </c>
      <c r="D6" s="68" t="s">
        <v>203</v>
      </c>
      <c r="E6" s="68" t="s">
        <v>254</v>
      </c>
      <c r="F6" s="68" t="s">
        <v>49</v>
      </c>
      <c r="G6" s="68" t="s">
        <v>213</v>
      </c>
      <c r="H6" s="68" t="s">
        <v>235</v>
      </c>
      <c r="I6" s="68" t="s">
        <v>241</v>
      </c>
      <c r="J6" s="68">
        <v>247</v>
      </c>
      <c r="K6" s="69">
        <v>44564.4534375</v>
      </c>
      <c r="L6" s="69">
        <v>44564.520914351851</v>
      </c>
      <c r="M6" s="67">
        <f>MAX(0,$L6-$K6)</f>
        <v>6.7476851851097308E-2</v>
      </c>
      <c r="N6" s="68">
        <v>1</v>
      </c>
      <c r="O6" s="68">
        <v>4</v>
      </c>
      <c r="P6" s="68" t="s">
        <v>222</v>
      </c>
      <c r="R6" s="68" t="s">
        <v>203</v>
      </c>
      <c r="S6" s="68" t="s">
        <v>236</v>
      </c>
      <c r="T6" s="68" t="s">
        <v>255</v>
      </c>
      <c r="U6" s="68" t="s">
        <v>256</v>
      </c>
      <c r="W6" s="70">
        <v>1</v>
      </c>
    </row>
    <row r="7" spans="1:23" x14ac:dyDescent="0.25">
      <c r="A7" s="68">
        <v>1</v>
      </c>
      <c r="B7" s="68" t="s">
        <v>257</v>
      </c>
      <c r="C7" s="69">
        <v>44564.545787037037</v>
      </c>
      <c r="D7" s="68" t="s">
        <v>203</v>
      </c>
      <c r="E7" s="68" t="s">
        <v>258</v>
      </c>
      <c r="F7" s="68" t="s">
        <v>49</v>
      </c>
      <c r="G7" s="68" t="s">
        <v>213</v>
      </c>
      <c r="H7" s="68" t="s">
        <v>235</v>
      </c>
      <c r="I7" s="68" t="s">
        <v>209</v>
      </c>
      <c r="J7" s="68">
        <v>247</v>
      </c>
      <c r="K7" s="69">
        <v>44564.481527777774</v>
      </c>
      <c r="L7" s="69">
        <v>44564.544999999998</v>
      </c>
      <c r="M7" s="67">
        <f>MAX(0,$L7-$K7)</f>
        <v>6.3472222223936114E-2</v>
      </c>
      <c r="N7" s="68">
        <v>1</v>
      </c>
      <c r="O7" s="68">
        <v>4</v>
      </c>
      <c r="P7" s="68" t="s">
        <v>259</v>
      </c>
      <c r="R7" s="68" t="s">
        <v>203</v>
      </c>
      <c r="S7" s="68" t="s">
        <v>236</v>
      </c>
      <c r="T7" s="68" t="s">
        <v>259</v>
      </c>
      <c r="U7" s="68" t="s">
        <v>260</v>
      </c>
      <c r="W7" s="70">
        <v>1</v>
      </c>
    </row>
    <row r="8" spans="1:23" x14ac:dyDescent="0.25">
      <c r="A8" s="68">
        <v>1</v>
      </c>
      <c r="B8" s="68" t="s">
        <v>261</v>
      </c>
      <c r="C8" s="69">
        <v>44564.548495370371</v>
      </c>
      <c r="D8" s="68" t="s">
        <v>203</v>
      </c>
      <c r="E8" s="68" t="s">
        <v>262</v>
      </c>
      <c r="F8" s="68" t="s">
        <v>49</v>
      </c>
      <c r="G8" s="68" t="s">
        <v>213</v>
      </c>
      <c r="H8" s="68" t="s">
        <v>235</v>
      </c>
      <c r="I8" s="68" t="s">
        <v>241</v>
      </c>
      <c r="J8" s="68">
        <v>247</v>
      </c>
      <c r="K8" s="69">
        <v>44564.546990740739</v>
      </c>
      <c r="L8" s="69">
        <v>44564.547997685186</v>
      </c>
      <c r="M8" s="67">
        <f>MAX(0,$L8-$K8)</f>
        <v>1.006944446999114E-3</v>
      </c>
      <c r="N8" s="68">
        <v>1</v>
      </c>
      <c r="O8" s="68">
        <v>4</v>
      </c>
      <c r="P8" s="68" t="s">
        <v>242</v>
      </c>
      <c r="R8" s="68" t="s">
        <v>203</v>
      </c>
      <c r="S8" s="68" t="s">
        <v>236</v>
      </c>
      <c r="T8" s="68" t="s">
        <v>243</v>
      </c>
      <c r="U8" s="68" t="s">
        <v>263</v>
      </c>
      <c r="W8" s="70">
        <v>1</v>
      </c>
    </row>
    <row r="9" spans="1:23" x14ac:dyDescent="0.25">
      <c r="A9" s="68">
        <v>1</v>
      </c>
      <c r="B9" s="68" t="s">
        <v>264</v>
      </c>
      <c r="C9" s="69">
        <v>44564.662638888891</v>
      </c>
      <c r="D9" s="68" t="s">
        <v>203</v>
      </c>
      <c r="E9" s="68" t="s">
        <v>265</v>
      </c>
      <c r="F9" s="68" t="s">
        <v>49</v>
      </c>
      <c r="G9" s="68" t="s">
        <v>213</v>
      </c>
      <c r="H9" s="68" t="s">
        <v>235</v>
      </c>
      <c r="I9" s="68" t="s">
        <v>241</v>
      </c>
      <c r="J9" s="68">
        <v>247</v>
      </c>
      <c r="K9" s="69">
        <v>44564.650243055556</v>
      </c>
      <c r="L9" s="69">
        <v>44564.65792824074</v>
      </c>
      <c r="M9" s="67">
        <f>MAX(0,$L9-$K9)</f>
        <v>7.6851851845276542E-3</v>
      </c>
      <c r="N9" s="68">
        <v>1</v>
      </c>
      <c r="O9" s="68">
        <v>4</v>
      </c>
      <c r="P9" s="68" t="s">
        <v>222</v>
      </c>
      <c r="R9" s="68" t="s">
        <v>203</v>
      </c>
      <c r="S9" s="68" t="s">
        <v>236</v>
      </c>
      <c r="T9" s="68" t="s">
        <v>266</v>
      </c>
      <c r="U9" s="68" t="s">
        <v>267</v>
      </c>
      <c r="W9" s="70">
        <v>1</v>
      </c>
    </row>
    <row r="10" spans="1:23" x14ac:dyDescent="0.25">
      <c r="A10" s="68">
        <v>1</v>
      </c>
      <c r="B10" s="68" t="s">
        <v>268</v>
      </c>
      <c r="C10" s="69">
        <v>44564.662638888891</v>
      </c>
      <c r="D10" s="68" t="s">
        <v>203</v>
      </c>
      <c r="E10" s="68" t="s">
        <v>274</v>
      </c>
      <c r="F10" s="68" t="s">
        <v>49</v>
      </c>
      <c r="G10" s="68" t="s">
        <v>213</v>
      </c>
      <c r="H10" s="68" t="s">
        <v>235</v>
      </c>
      <c r="I10" s="68" t="s">
        <v>241</v>
      </c>
      <c r="J10" s="68">
        <v>247</v>
      </c>
      <c r="K10" s="69">
        <v>44564.661354166667</v>
      </c>
      <c r="L10" s="69">
        <v>44564.669733796298</v>
      </c>
      <c r="M10" s="67">
        <f t="shared" ref="M10:M16" si="0">MAX(0,$L10-$K10)</f>
        <v>8.3796296312357299E-3</v>
      </c>
      <c r="N10" s="68">
        <v>1</v>
      </c>
      <c r="O10" s="68">
        <v>4</v>
      </c>
      <c r="P10" s="68" t="s">
        <v>222</v>
      </c>
      <c r="R10" s="68" t="s">
        <v>203</v>
      </c>
      <c r="S10" s="68" t="s">
        <v>236</v>
      </c>
      <c r="T10" s="68" t="s">
        <v>266</v>
      </c>
      <c r="U10" s="68" t="s">
        <v>267</v>
      </c>
      <c r="W10" s="70">
        <v>1</v>
      </c>
    </row>
    <row r="11" spans="1:23" x14ac:dyDescent="0.25">
      <c r="A11" s="68">
        <v>1</v>
      </c>
      <c r="B11" s="68" t="s">
        <v>269</v>
      </c>
      <c r="C11" s="69">
        <v>44564.662638888891</v>
      </c>
      <c r="D11" s="68" t="s">
        <v>203</v>
      </c>
      <c r="E11" s="68" t="s">
        <v>275</v>
      </c>
      <c r="F11" s="68" t="s">
        <v>49</v>
      </c>
      <c r="G11" s="68" t="s">
        <v>213</v>
      </c>
      <c r="H11" s="68" t="s">
        <v>235</v>
      </c>
      <c r="I11" s="68" t="s">
        <v>241</v>
      </c>
      <c r="J11" s="68">
        <v>247</v>
      </c>
      <c r="K11" s="69">
        <v>44564.632881944446</v>
      </c>
      <c r="L11" s="69">
        <v>44564.671076388891</v>
      </c>
      <c r="M11" s="67">
        <f t="shared" si="0"/>
        <v>3.8194444445252884E-2</v>
      </c>
      <c r="N11" s="68">
        <v>1</v>
      </c>
      <c r="O11" s="68">
        <v>4</v>
      </c>
      <c r="P11" s="68" t="s">
        <v>222</v>
      </c>
      <c r="R11" s="68" t="s">
        <v>203</v>
      </c>
      <c r="S11" s="68" t="s">
        <v>236</v>
      </c>
      <c r="T11" s="68" t="s">
        <v>251</v>
      </c>
      <c r="U11" s="68" t="s">
        <v>248</v>
      </c>
      <c r="W11" s="70">
        <v>1</v>
      </c>
    </row>
    <row r="12" spans="1:23" x14ac:dyDescent="0.25">
      <c r="A12" s="68">
        <v>1</v>
      </c>
      <c r="B12" s="68" t="s">
        <v>270</v>
      </c>
      <c r="C12" s="69">
        <v>44564.662638888891</v>
      </c>
      <c r="D12" s="68" t="s">
        <v>203</v>
      </c>
      <c r="E12" s="68" t="s">
        <v>276</v>
      </c>
      <c r="F12" s="68" t="s">
        <v>49</v>
      </c>
      <c r="G12" s="68" t="s">
        <v>213</v>
      </c>
      <c r="H12" s="68" t="s">
        <v>235</v>
      </c>
      <c r="I12" s="68" t="s">
        <v>241</v>
      </c>
      <c r="J12" s="68">
        <v>247</v>
      </c>
      <c r="K12" s="69">
        <v>44564.684965277775</v>
      </c>
      <c r="L12" s="69">
        <v>44564.696076388886</v>
      </c>
      <c r="M12" s="67">
        <f t="shared" si="0"/>
        <v>1.1111111110949423E-2</v>
      </c>
      <c r="N12" s="68">
        <v>1</v>
      </c>
      <c r="O12" s="68">
        <v>4</v>
      </c>
      <c r="P12" s="68" t="s">
        <v>277</v>
      </c>
      <c r="R12" s="68" t="s">
        <v>203</v>
      </c>
      <c r="S12" s="68" t="s">
        <v>236</v>
      </c>
      <c r="T12" s="68" t="s">
        <v>278</v>
      </c>
      <c r="U12" s="68" t="s">
        <v>279</v>
      </c>
      <c r="W12" s="70">
        <v>1</v>
      </c>
    </row>
    <row r="13" spans="1:23" x14ac:dyDescent="0.25">
      <c r="A13" s="68">
        <v>1</v>
      </c>
      <c r="B13" s="68" t="s">
        <v>271</v>
      </c>
      <c r="C13" s="69">
        <v>44564.662638888891</v>
      </c>
      <c r="D13" s="68" t="s">
        <v>203</v>
      </c>
      <c r="E13" s="68" t="s">
        <v>280</v>
      </c>
      <c r="F13" s="68" t="s">
        <v>49</v>
      </c>
      <c r="G13" s="68" t="s">
        <v>213</v>
      </c>
      <c r="H13" s="68" t="s">
        <v>235</v>
      </c>
      <c r="I13" s="68" t="s">
        <v>241</v>
      </c>
      <c r="J13" s="68">
        <v>247</v>
      </c>
      <c r="K13" s="69">
        <v>44564.72246527778</v>
      </c>
      <c r="L13" s="69">
        <v>44564.728715277779</v>
      </c>
      <c r="M13" s="67">
        <f t="shared" si="0"/>
        <v>6.2499999985448085E-3</v>
      </c>
      <c r="N13" s="68">
        <v>1</v>
      </c>
      <c r="O13" s="68">
        <v>4</v>
      </c>
      <c r="P13" s="68" t="s">
        <v>222</v>
      </c>
      <c r="R13" s="68" t="s">
        <v>203</v>
      </c>
      <c r="S13" s="68" t="s">
        <v>236</v>
      </c>
      <c r="T13" s="68" t="s">
        <v>281</v>
      </c>
      <c r="U13" s="68" t="s">
        <v>248</v>
      </c>
      <c r="W13" s="70">
        <v>1</v>
      </c>
    </row>
    <row r="14" spans="1:23" x14ac:dyDescent="0.25">
      <c r="A14" s="68">
        <v>1</v>
      </c>
      <c r="B14" s="68" t="s">
        <v>272</v>
      </c>
      <c r="C14" s="69">
        <v>44564.662638888891</v>
      </c>
      <c r="D14" s="68" t="s">
        <v>203</v>
      </c>
      <c r="E14" s="68" t="s">
        <v>282</v>
      </c>
      <c r="F14" s="68" t="s">
        <v>49</v>
      </c>
      <c r="G14" s="68" t="s">
        <v>213</v>
      </c>
      <c r="H14" s="68" t="s">
        <v>235</v>
      </c>
      <c r="I14" s="68" t="s">
        <v>241</v>
      </c>
      <c r="J14" s="68">
        <v>247</v>
      </c>
      <c r="K14" s="69">
        <v>44564.712743055556</v>
      </c>
      <c r="L14" s="69">
        <v>44564.730798611112</v>
      </c>
      <c r="M14" s="67">
        <f t="shared" si="0"/>
        <v>1.8055555556202307E-2</v>
      </c>
      <c r="N14" s="68">
        <v>1</v>
      </c>
      <c r="O14" s="68">
        <v>4</v>
      </c>
      <c r="P14" s="68" t="s">
        <v>222</v>
      </c>
      <c r="R14" s="68" t="s">
        <v>203</v>
      </c>
      <c r="S14" s="68" t="s">
        <v>236</v>
      </c>
      <c r="T14" s="68" t="s">
        <v>255</v>
      </c>
      <c r="U14" s="68" t="s">
        <v>202</v>
      </c>
      <c r="W14" s="70">
        <v>1</v>
      </c>
    </row>
    <row r="15" spans="1:23" x14ac:dyDescent="0.25">
      <c r="A15" s="68">
        <v>1</v>
      </c>
      <c r="B15" s="68" t="s">
        <v>273</v>
      </c>
      <c r="C15" s="69">
        <v>44564.662638888891</v>
      </c>
      <c r="D15" s="68" t="s">
        <v>203</v>
      </c>
      <c r="E15" s="68" t="s">
        <v>283</v>
      </c>
      <c r="F15" s="68" t="s">
        <v>49</v>
      </c>
      <c r="G15" s="68" t="s">
        <v>213</v>
      </c>
      <c r="H15" s="68" t="s">
        <v>235</v>
      </c>
      <c r="I15" s="68" t="s">
        <v>241</v>
      </c>
      <c r="J15" s="68">
        <v>247</v>
      </c>
      <c r="K15" s="69">
        <v>44564.657187500001</v>
      </c>
      <c r="L15" s="69">
        <v>44564.664131944446</v>
      </c>
      <c r="M15" s="67">
        <f t="shared" si="0"/>
        <v>6.9444444452528842E-3</v>
      </c>
      <c r="N15" s="68">
        <v>1</v>
      </c>
      <c r="O15" s="68">
        <v>4</v>
      </c>
      <c r="P15" s="68" t="s">
        <v>242</v>
      </c>
      <c r="R15" s="68" t="s">
        <v>203</v>
      </c>
      <c r="S15" s="68" t="s">
        <v>236</v>
      </c>
      <c r="T15" s="68" t="s">
        <v>284</v>
      </c>
      <c r="U15" s="68" t="s">
        <v>285</v>
      </c>
      <c r="W15" s="70">
        <v>1</v>
      </c>
    </row>
    <row r="16" spans="1:23" x14ac:dyDescent="0.25">
      <c r="A16" s="68">
        <v>1</v>
      </c>
      <c r="B16" s="68" t="s">
        <v>286</v>
      </c>
      <c r="C16" s="69">
        <v>44564.662638888891</v>
      </c>
      <c r="D16" s="68" t="s">
        <v>203</v>
      </c>
      <c r="E16" s="68" t="s">
        <v>283</v>
      </c>
      <c r="F16" s="68" t="s">
        <v>49</v>
      </c>
      <c r="G16" s="68" t="s">
        <v>213</v>
      </c>
      <c r="H16" s="68" t="s">
        <v>235</v>
      </c>
      <c r="I16" s="68" t="s">
        <v>241</v>
      </c>
      <c r="J16" s="68">
        <v>247</v>
      </c>
      <c r="K16" s="69">
        <v>44564.717604166668</v>
      </c>
      <c r="L16" s="69">
        <v>44564.765520833331</v>
      </c>
      <c r="M16" s="67">
        <f t="shared" si="0"/>
        <v>4.7916666662786156E-2</v>
      </c>
      <c r="N16" s="68">
        <v>1</v>
      </c>
      <c r="O16" s="68">
        <v>4</v>
      </c>
      <c r="P16" s="68" t="s">
        <v>277</v>
      </c>
      <c r="R16" s="68" t="s">
        <v>203</v>
      </c>
      <c r="S16" s="68" t="s">
        <v>236</v>
      </c>
      <c r="T16" s="68" t="s">
        <v>287</v>
      </c>
      <c r="U16" s="68" t="s">
        <v>279</v>
      </c>
      <c r="W16" s="70">
        <v>1</v>
      </c>
    </row>
    <row r="17" spans="3:13" x14ac:dyDescent="0.25">
      <c r="C17" s="69"/>
      <c r="K17" s="69"/>
      <c r="L17" s="69"/>
      <c r="M17" s="67"/>
    </row>
    <row r="18" spans="3:13" x14ac:dyDescent="0.25">
      <c r="C18" s="69"/>
      <c r="K18" s="69"/>
      <c r="L18" s="69"/>
      <c r="M18" s="67"/>
    </row>
    <row r="19" spans="3:13" x14ac:dyDescent="0.25">
      <c r="C19" s="69"/>
      <c r="K19" s="69"/>
      <c r="L19" s="69"/>
      <c r="M19" s="67"/>
    </row>
    <row r="20" spans="3:13" x14ac:dyDescent="0.25">
      <c r="C20" s="69"/>
      <c r="K20" s="69"/>
      <c r="L20" s="69"/>
      <c r="M20" s="67"/>
    </row>
    <row r="21" spans="3:13" x14ac:dyDescent="0.25">
      <c r="C21" s="69"/>
      <c r="K21" s="69"/>
      <c r="L21" s="69"/>
      <c r="M21" s="67"/>
    </row>
    <row r="22" spans="3:13" x14ac:dyDescent="0.25">
      <c r="C22" s="69"/>
      <c r="K22" s="69"/>
      <c r="L22" s="69"/>
      <c r="M22" s="67"/>
    </row>
    <row r="23" spans="3:13" x14ac:dyDescent="0.25">
      <c r="C23" s="69"/>
      <c r="K23" s="69"/>
      <c r="L23" s="69"/>
      <c r="M23" s="67"/>
    </row>
    <row r="24" spans="3:13" x14ac:dyDescent="0.25">
      <c r="C24" s="69"/>
      <c r="K24" s="69"/>
      <c r="L24" s="69"/>
      <c r="M24" s="67"/>
    </row>
    <row r="25" spans="3:13" x14ac:dyDescent="0.25">
      <c r="C25" s="69"/>
      <c r="K25" s="69"/>
      <c r="L25" s="69"/>
      <c r="M25" s="67"/>
    </row>
    <row r="26" spans="3:13" x14ac:dyDescent="0.25">
      <c r="C26" s="71"/>
      <c r="K26" s="71"/>
      <c r="L26" s="71"/>
      <c r="M26" s="67"/>
    </row>
    <row r="27" spans="3:13" x14ac:dyDescent="0.25">
      <c r="C27" s="71"/>
      <c r="K27" s="71"/>
      <c r="L27" s="71"/>
      <c r="M27" s="67"/>
    </row>
    <row r="28" spans="3:13" x14ac:dyDescent="0.25">
      <c r="C28" s="71"/>
      <c r="K28" s="71"/>
      <c r="L28" s="71"/>
      <c r="M28" s="67"/>
    </row>
    <row r="29" spans="3:13" x14ac:dyDescent="0.25">
      <c r="C29" s="71"/>
      <c r="K29" s="71"/>
      <c r="L29" s="71"/>
      <c r="M29" s="67"/>
    </row>
    <row r="30" spans="3:13" x14ac:dyDescent="0.25">
      <c r="C30" s="71"/>
      <c r="K30" s="71"/>
      <c r="L30" s="71"/>
      <c r="M30" s="67"/>
    </row>
    <row r="31" spans="3:13" x14ac:dyDescent="0.25">
      <c r="C31" s="71"/>
      <c r="K31" s="71"/>
      <c r="L31" s="71"/>
      <c r="M31" s="67"/>
    </row>
    <row r="32" spans="3:13" x14ac:dyDescent="0.25">
      <c r="C32" s="71"/>
      <c r="K32" s="71"/>
      <c r="L32" s="71"/>
      <c r="M32" s="67"/>
    </row>
    <row r="33" spans="3:13" x14ac:dyDescent="0.25">
      <c r="C33" s="71"/>
      <c r="K33" s="71"/>
      <c r="L33" s="71"/>
      <c r="M33" s="67"/>
    </row>
    <row r="34" spans="3:13" x14ac:dyDescent="0.25">
      <c r="C34" s="71"/>
      <c r="I34" s="61"/>
      <c r="K34" s="71"/>
      <c r="L34" s="71"/>
      <c r="M34" s="67"/>
    </row>
    <row r="35" spans="3:13" x14ac:dyDescent="0.25">
      <c r="C35" s="71"/>
      <c r="K35" s="71"/>
      <c r="L35" s="71"/>
      <c r="M35" s="67"/>
    </row>
    <row r="36" spans="3:13" x14ac:dyDescent="0.25">
      <c r="C36" s="71"/>
      <c r="K36" s="71"/>
      <c r="L36" s="71"/>
      <c r="M36" s="67"/>
    </row>
    <row r="37" spans="3:13" x14ac:dyDescent="0.25">
      <c r="C37" s="71"/>
      <c r="K37" s="71"/>
      <c r="L37" s="71"/>
      <c r="M37" s="67"/>
    </row>
    <row r="38" spans="3:13" x14ac:dyDescent="0.25">
      <c r="C38" s="71"/>
      <c r="K38" s="71"/>
      <c r="L38" s="71"/>
      <c r="M38" s="67"/>
    </row>
    <row r="39" spans="3:13" x14ac:dyDescent="0.25">
      <c r="C39" s="71"/>
      <c r="K39" s="71"/>
      <c r="L39" s="71"/>
      <c r="M39" s="67"/>
    </row>
    <row r="40" spans="3:13" x14ac:dyDescent="0.25">
      <c r="C40" s="71"/>
      <c r="K40" s="71"/>
      <c r="L40" s="71"/>
      <c r="M40" s="67"/>
    </row>
    <row r="41" spans="3:13" x14ac:dyDescent="0.25">
      <c r="C41" s="71"/>
      <c r="K41" s="71"/>
      <c r="L41" s="71"/>
      <c r="M41" s="67"/>
    </row>
    <row r="42" spans="3:13" x14ac:dyDescent="0.25">
      <c r="C42" s="71"/>
      <c r="K42" s="71"/>
      <c r="L42" s="71"/>
      <c r="M42" s="67"/>
    </row>
    <row r="43" spans="3:13" x14ac:dyDescent="0.25">
      <c r="C43" s="71"/>
      <c r="K43" s="71"/>
      <c r="L43" s="71"/>
      <c r="M43" s="67"/>
    </row>
    <row r="44" spans="3:13" x14ac:dyDescent="0.25">
      <c r="C44" s="71"/>
      <c r="K44" s="71"/>
      <c r="L44" s="71"/>
      <c r="M44" s="67"/>
    </row>
    <row r="45" spans="3:13" x14ac:dyDescent="0.25">
      <c r="C45" s="71"/>
      <c r="K45" s="71"/>
      <c r="L45" s="71"/>
      <c r="M45" s="67"/>
    </row>
    <row r="46" spans="3:13" x14ac:dyDescent="0.25">
      <c r="C46" s="71"/>
      <c r="K46" s="71"/>
      <c r="L46" s="71"/>
      <c r="M46" s="67"/>
    </row>
    <row r="47" spans="3:13" x14ac:dyDescent="0.25">
      <c r="C47" s="71"/>
      <c r="K47" s="71"/>
      <c r="L47" s="71"/>
      <c r="M47" s="67"/>
    </row>
    <row r="48" spans="3:13" x14ac:dyDescent="0.25">
      <c r="C48" s="71"/>
      <c r="K48" s="71"/>
      <c r="L48" s="71"/>
      <c r="M48" s="67"/>
    </row>
    <row r="49" spans="1:22" x14ac:dyDescent="0.25">
      <c r="C49" s="71"/>
      <c r="K49" s="71"/>
      <c r="L49" s="71"/>
      <c r="M49" s="67"/>
    </row>
    <row r="50" spans="1:22" x14ac:dyDescent="0.25">
      <c r="C50" s="71"/>
      <c r="K50" s="71"/>
      <c r="L50" s="71"/>
      <c r="M50" s="67"/>
    </row>
    <row r="51" spans="1:22" x14ac:dyDescent="0.25">
      <c r="C51" s="71"/>
      <c r="K51" s="71"/>
      <c r="L51" s="71"/>
      <c r="M51" s="67"/>
    </row>
    <row r="52" spans="1:22" x14ac:dyDescent="0.25">
      <c r="C52" s="71"/>
      <c r="K52" s="71"/>
      <c r="L52" s="71"/>
      <c r="M52" s="67"/>
    </row>
    <row r="53" spans="1:22" x14ac:dyDescent="0.25">
      <c r="C53" s="71"/>
      <c r="K53" s="71"/>
      <c r="L53" s="71"/>
      <c r="M53" s="67"/>
    </row>
    <row r="54" spans="1:22" x14ac:dyDescent="0.25">
      <c r="C54" s="71"/>
      <c r="K54" s="71"/>
      <c r="L54" s="71"/>
      <c r="M54" s="67"/>
    </row>
    <row r="55" spans="1:22" x14ac:dyDescent="0.25">
      <c r="C55" s="71"/>
      <c r="K55" s="71"/>
      <c r="L55" s="71"/>
      <c r="M55" s="67"/>
    </row>
    <row r="56" spans="1:22" x14ac:dyDescent="0.25">
      <c r="C56" s="71"/>
      <c r="K56" s="71"/>
      <c r="L56" s="71"/>
      <c r="M56" s="67"/>
    </row>
    <row r="57" spans="1:22" x14ac:dyDescent="0.25">
      <c r="C57" s="71"/>
      <c r="K57" s="71"/>
      <c r="L57" s="71"/>
      <c r="M57" s="67"/>
    </row>
    <row r="58" spans="1:22" x14ac:dyDescent="0.25">
      <c r="C58" s="71"/>
      <c r="K58" s="71"/>
      <c r="L58" s="71"/>
      <c r="M58" s="67"/>
    </row>
    <row r="59" spans="1:22" x14ac:dyDescent="0.25">
      <c r="C59" s="71"/>
      <c r="K59" s="71"/>
      <c r="L59" s="71"/>
      <c r="M59" s="67"/>
    </row>
    <row r="60" spans="1:22" x14ac:dyDescent="0.25">
      <c r="C60" s="71"/>
      <c r="K60" s="71"/>
      <c r="L60" s="71"/>
      <c r="M60" s="67"/>
    </row>
    <row r="61" spans="1:22" x14ac:dyDescent="0.25">
      <c r="C61" s="71"/>
      <c r="K61" s="71"/>
      <c r="L61" s="71"/>
      <c r="M61" s="67"/>
    </row>
    <row r="62" spans="1:22" x14ac:dyDescent="0.25">
      <c r="A62" s="72"/>
      <c r="B62" s="59"/>
      <c r="C62" s="73"/>
      <c r="D62" s="60"/>
      <c r="E62" s="72"/>
      <c r="F62" s="60"/>
      <c r="G62" s="60"/>
      <c r="H62" s="60"/>
      <c r="I62" s="60"/>
      <c r="J62" s="60"/>
      <c r="K62" s="73"/>
      <c r="L62" s="73"/>
      <c r="M62" s="67"/>
      <c r="N62" s="58"/>
      <c r="O62" s="58"/>
      <c r="P62" s="58"/>
      <c r="Q62" s="58"/>
      <c r="R62" s="58"/>
      <c r="S62" s="58"/>
      <c r="T62" s="58"/>
      <c r="U62" s="58"/>
      <c r="V62" s="58"/>
    </row>
    <row r="63" spans="1:22" x14ac:dyDescent="0.25">
      <c r="A63" s="72"/>
      <c r="B63" s="59"/>
      <c r="C63" s="73"/>
      <c r="D63" s="60"/>
      <c r="E63" s="72"/>
      <c r="F63" s="60"/>
      <c r="G63" s="60"/>
      <c r="H63" s="60"/>
      <c r="I63" s="60"/>
      <c r="J63" s="60"/>
      <c r="K63" s="73"/>
      <c r="L63" s="73"/>
      <c r="M63" s="67"/>
      <c r="N63" s="58"/>
      <c r="O63" s="58"/>
      <c r="P63" s="58"/>
      <c r="Q63" s="58"/>
      <c r="R63" s="58"/>
      <c r="S63" s="58"/>
      <c r="T63" s="58"/>
      <c r="U63" s="58"/>
      <c r="V63" s="58"/>
    </row>
    <row r="64" spans="1:22" x14ac:dyDescent="0.25">
      <c r="A64" s="72"/>
      <c r="B64" s="59"/>
      <c r="C64" s="73"/>
      <c r="D64" s="60"/>
      <c r="E64" s="72"/>
      <c r="F64" s="60"/>
      <c r="G64" s="60"/>
      <c r="H64" s="60"/>
      <c r="I64" s="60"/>
      <c r="J64" s="60"/>
      <c r="K64" s="73"/>
      <c r="L64" s="73"/>
      <c r="M64" s="67"/>
      <c r="N64" s="58"/>
      <c r="O64" s="58"/>
      <c r="P64" s="58"/>
      <c r="Q64" s="58"/>
      <c r="R64" s="58"/>
      <c r="S64" s="58"/>
      <c r="T64" s="58"/>
      <c r="U64" s="58"/>
      <c r="V64" s="58"/>
    </row>
    <row r="65" spans="1:22" x14ac:dyDescent="0.25">
      <c r="A65" s="72"/>
      <c r="B65" s="59"/>
      <c r="C65" s="73"/>
      <c r="D65" s="60"/>
      <c r="E65" s="72"/>
      <c r="F65" s="60"/>
      <c r="G65" s="60"/>
      <c r="H65" s="60"/>
      <c r="I65" s="60"/>
      <c r="J65" s="60"/>
      <c r="K65" s="73"/>
      <c r="L65" s="73"/>
      <c r="M65" s="67"/>
      <c r="N65" s="58"/>
      <c r="O65" s="58"/>
      <c r="P65" s="58"/>
      <c r="Q65" s="58"/>
      <c r="R65" s="58"/>
      <c r="S65" s="58"/>
      <c r="T65" s="58"/>
      <c r="U65" s="58"/>
      <c r="V65" s="58"/>
    </row>
    <row r="66" spans="1:22" x14ac:dyDescent="0.25">
      <c r="A66" s="72"/>
      <c r="B66" s="59"/>
      <c r="C66" s="73"/>
      <c r="D66" s="60"/>
      <c r="E66" s="72"/>
      <c r="F66" s="60"/>
      <c r="G66" s="60"/>
      <c r="H66" s="60"/>
      <c r="I66" s="60"/>
      <c r="J66" s="60"/>
      <c r="K66" s="73"/>
      <c r="L66" s="73"/>
      <c r="M66" s="67"/>
      <c r="N66" s="58"/>
      <c r="O66" s="58"/>
      <c r="P66" s="58"/>
      <c r="Q66" s="58"/>
      <c r="R66" s="58"/>
      <c r="S66" s="58"/>
      <c r="T66" s="58"/>
      <c r="U66" s="58"/>
      <c r="V66" s="58"/>
    </row>
    <row r="67" spans="1:22" x14ac:dyDescent="0.25">
      <c r="A67" s="72"/>
      <c r="B67" s="59"/>
      <c r="C67" s="73"/>
      <c r="D67" s="60"/>
      <c r="E67" s="72"/>
      <c r="F67" s="60"/>
      <c r="G67" s="60"/>
      <c r="H67" s="60"/>
      <c r="I67" s="60"/>
      <c r="J67" s="60"/>
      <c r="K67" s="73"/>
      <c r="L67" s="73"/>
      <c r="M67" s="67"/>
      <c r="N67" s="58"/>
      <c r="O67" s="58"/>
      <c r="P67" s="58"/>
      <c r="Q67" s="58"/>
      <c r="R67" s="58"/>
      <c r="S67" s="58"/>
      <c r="T67" s="58"/>
      <c r="U67" s="58"/>
      <c r="V67" s="58"/>
    </row>
    <row r="68" spans="1:22" x14ac:dyDescent="0.25">
      <c r="A68" s="72"/>
      <c r="B68" s="59"/>
      <c r="C68" s="73"/>
      <c r="D68" s="60"/>
      <c r="E68" s="72"/>
      <c r="F68" s="60"/>
      <c r="G68" s="60"/>
      <c r="H68" s="60"/>
      <c r="I68" s="60"/>
      <c r="J68" s="60"/>
      <c r="K68" s="73"/>
      <c r="L68" s="73"/>
      <c r="M68" s="67"/>
      <c r="N68" s="58"/>
      <c r="O68" s="58"/>
      <c r="P68" s="58"/>
      <c r="Q68" s="58"/>
      <c r="R68" s="58"/>
      <c r="S68" s="58"/>
      <c r="T68" s="58"/>
      <c r="U68" s="58"/>
      <c r="V68" s="58"/>
    </row>
    <row r="69" spans="1:22" x14ac:dyDescent="0.25">
      <c r="A69" s="72"/>
      <c r="B69" s="59"/>
      <c r="C69" s="73"/>
      <c r="D69" s="60"/>
      <c r="E69" s="72"/>
      <c r="F69" s="60"/>
      <c r="G69" s="60"/>
      <c r="H69" s="60"/>
      <c r="I69" s="60"/>
      <c r="J69" s="60"/>
      <c r="K69" s="73"/>
      <c r="L69" s="73"/>
      <c r="M69" s="67"/>
      <c r="N69" s="58"/>
      <c r="O69" s="58"/>
      <c r="P69" s="58"/>
      <c r="Q69" s="58"/>
      <c r="R69" s="58"/>
      <c r="S69" s="58"/>
      <c r="T69" s="58"/>
      <c r="U69" s="58"/>
      <c r="V69" s="58"/>
    </row>
    <row r="70" spans="1:22" x14ac:dyDescent="0.25">
      <c r="A70" s="72"/>
      <c r="B70" s="59"/>
      <c r="C70" s="73"/>
      <c r="D70" s="60"/>
      <c r="E70" s="72"/>
      <c r="F70" s="60"/>
      <c r="G70" s="60"/>
      <c r="H70" s="60"/>
      <c r="I70" s="60"/>
      <c r="J70" s="60"/>
      <c r="K70" s="73"/>
      <c r="L70" s="73"/>
      <c r="M70" s="67"/>
      <c r="N70" s="58"/>
      <c r="O70" s="58"/>
      <c r="P70" s="58"/>
      <c r="Q70" s="58"/>
      <c r="R70" s="58"/>
      <c r="S70" s="58"/>
      <c r="T70" s="58"/>
      <c r="U70" s="58"/>
      <c r="V70" s="58"/>
    </row>
    <row r="71" spans="1:22" x14ac:dyDescent="0.25">
      <c r="A71" s="72"/>
      <c r="B71" s="59"/>
      <c r="C71" s="73"/>
      <c r="D71" s="60"/>
      <c r="E71" s="72"/>
      <c r="F71" s="60"/>
      <c r="G71" s="60"/>
      <c r="H71" s="60"/>
      <c r="I71" s="60"/>
      <c r="J71" s="60"/>
      <c r="K71" s="73"/>
      <c r="L71" s="73"/>
      <c r="M71" s="67"/>
      <c r="N71" s="58"/>
      <c r="O71" s="58"/>
      <c r="P71" s="58"/>
      <c r="Q71" s="58"/>
      <c r="R71" s="58"/>
      <c r="S71" s="58"/>
      <c r="T71" s="58"/>
      <c r="U71" s="58"/>
      <c r="V71" s="58"/>
    </row>
    <row r="72" spans="1:22" x14ac:dyDescent="0.25">
      <c r="A72" s="72"/>
      <c r="B72" s="59"/>
      <c r="C72" s="73"/>
      <c r="D72" s="60"/>
      <c r="E72" s="72"/>
      <c r="F72" s="60"/>
      <c r="G72" s="60"/>
      <c r="H72" s="60"/>
      <c r="I72" s="60"/>
      <c r="J72" s="60"/>
      <c r="K72" s="73"/>
      <c r="L72" s="73"/>
      <c r="M72" s="67"/>
      <c r="N72" s="58"/>
      <c r="O72" s="58"/>
      <c r="P72" s="58"/>
      <c r="Q72" s="58"/>
      <c r="R72" s="58"/>
      <c r="S72" s="58"/>
      <c r="T72" s="58"/>
      <c r="U72" s="58"/>
      <c r="V72" s="58"/>
    </row>
    <row r="73" spans="1:22" x14ac:dyDescent="0.25">
      <c r="A73" s="72"/>
      <c r="B73" s="59"/>
      <c r="C73" s="73"/>
      <c r="D73" s="60"/>
      <c r="E73" s="72"/>
      <c r="F73" s="60"/>
      <c r="G73" s="60"/>
      <c r="H73" s="60"/>
      <c r="I73" s="60"/>
      <c r="J73" s="60"/>
      <c r="K73" s="73"/>
      <c r="L73" s="73"/>
      <c r="M73" s="67"/>
      <c r="N73" s="58"/>
      <c r="O73" s="58"/>
      <c r="P73" s="58"/>
      <c r="Q73" s="58"/>
      <c r="R73" s="58"/>
      <c r="S73" s="58"/>
      <c r="T73" s="58"/>
      <c r="U73" s="58"/>
      <c r="V73" s="58"/>
    </row>
    <row r="74" spans="1:22" x14ac:dyDescent="0.25">
      <c r="A74" s="72"/>
      <c r="B74" s="59"/>
      <c r="C74" s="73"/>
      <c r="D74" s="60"/>
      <c r="E74" s="72"/>
      <c r="F74" s="60"/>
      <c r="G74" s="60"/>
      <c r="H74" s="60"/>
      <c r="I74" s="60"/>
      <c r="J74" s="60"/>
      <c r="K74" s="73"/>
      <c r="L74" s="73"/>
      <c r="M74" s="67"/>
      <c r="N74" s="58"/>
      <c r="O74" s="58"/>
      <c r="P74" s="58"/>
      <c r="Q74" s="58"/>
      <c r="R74" s="58"/>
      <c r="S74" s="58"/>
      <c r="T74" s="58"/>
      <c r="U74" s="58"/>
      <c r="V74" s="58"/>
    </row>
    <row r="75" spans="1:22" x14ac:dyDescent="0.25">
      <c r="A75" s="72"/>
      <c r="B75" s="72"/>
      <c r="C75" s="73"/>
      <c r="D75" s="60"/>
      <c r="E75" s="72"/>
      <c r="F75" s="60"/>
      <c r="G75" s="60"/>
      <c r="H75" s="60"/>
      <c r="I75" s="60"/>
      <c r="J75" s="60"/>
      <c r="K75" s="73"/>
      <c r="L75" s="73"/>
      <c r="M75" s="67"/>
      <c r="N75" s="58"/>
      <c r="O75" s="58"/>
      <c r="P75" s="58"/>
      <c r="Q75" s="58"/>
      <c r="R75" s="58"/>
      <c r="S75" s="58"/>
      <c r="T75" s="58"/>
      <c r="U75" s="58"/>
      <c r="V75" s="58"/>
    </row>
    <row r="76" spans="1:22" x14ac:dyDescent="0.25">
      <c r="A76" s="72"/>
      <c r="B76" s="72"/>
      <c r="C76" s="73"/>
      <c r="D76" s="60"/>
      <c r="E76" s="72"/>
      <c r="F76" s="60"/>
      <c r="G76" s="60"/>
      <c r="H76" s="60"/>
      <c r="I76" s="60"/>
      <c r="J76" s="60"/>
      <c r="K76" s="73"/>
      <c r="L76" s="73"/>
      <c r="M76" s="67"/>
      <c r="N76" s="58"/>
      <c r="O76" s="58"/>
      <c r="P76" s="58"/>
      <c r="Q76" s="58"/>
      <c r="R76" s="58"/>
      <c r="S76" s="58"/>
      <c r="T76" s="58"/>
      <c r="U76" s="58"/>
      <c r="V76" s="58"/>
    </row>
    <row r="77" spans="1:22" x14ac:dyDescent="0.25">
      <c r="A77" s="72"/>
      <c r="B77" s="72"/>
      <c r="C77" s="73"/>
      <c r="D77" s="60"/>
      <c r="E77" s="72"/>
      <c r="F77" s="60"/>
      <c r="G77" s="60"/>
      <c r="H77" s="60"/>
      <c r="I77" s="60"/>
      <c r="J77" s="60"/>
      <c r="K77" s="73"/>
      <c r="L77" s="73"/>
      <c r="M77" s="67"/>
      <c r="N77" s="58"/>
      <c r="O77" s="58"/>
      <c r="P77" s="58"/>
      <c r="Q77" s="58"/>
      <c r="R77" s="58"/>
      <c r="S77" s="58"/>
      <c r="T77" s="58"/>
      <c r="U77" s="58"/>
      <c r="V77" s="58"/>
    </row>
    <row r="78" spans="1:22" x14ac:dyDescent="0.25">
      <c r="A78" s="72"/>
      <c r="B78" s="72"/>
      <c r="C78" s="73"/>
      <c r="D78" s="60"/>
      <c r="E78" s="72"/>
      <c r="F78" s="60"/>
      <c r="G78" s="60"/>
      <c r="H78" s="60"/>
      <c r="I78" s="60"/>
      <c r="J78" s="60"/>
      <c r="K78" s="73"/>
      <c r="L78" s="73"/>
      <c r="M78" s="67"/>
      <c r="N78" s="58"/>
      <c r="O78" s="58"/>
      <c r="P78" s="74"/>
      <c r="Q78" s="58"/>
      <c r="R78" s="58"/>
      <c r="S78" s="74"/>
      <c r="T78" s="74"/>
      <c r="U78" s="74"/>
      <c r="V78" s="74"/>
    </row>
    <row r="79" spans="1:22" x14ac:dyDescent="0.25">
      <c r="A79" s="72"/>
      <c r="B79" s="72"/>
      <c r="C79" s="73"/>
      <c r="D79" s="60"/>
      <c r="E79" s="72"/>
      <c r="F79" s="60"/>
      <c r="G79" s="60"/>
      <c r="H79" s="60"/>
      <c r="I79" s="60"/>
      <c r="J79" s="60"/>
      <c r="K79" s="73"/>
      <c r="L79" s="73"/>
      <c r="M79" s="67"/>
      <c r="N79" s="58"/>
      <c r="O79" s="58"/>
      <c r="P79" s="58"/>
      <c r="Q79" s="58"/>
      <c r="R79" s="58"/>
      <c r="S79" s="58"/>
      <c r="T79" s="58"/>
      <c r="U79" s="58"/>
      <c r="V79" s="58"/>
    </row>
    <row r="80" spans="1:22" x14ac:dyDescent="0.25">
      <c r="A80" s="72"/>
      <c r="B80" s="72"/>
      <c r="C80" s="73"/>
      <c r="D80" s="60"/>
      <c r="E80" s="72"/>
      <c r="F80" s="60"/>
      <c r="G80" s="60"/>
      <c r="H80" s="60"/>
      <c r="I80" s="60"/>
      <c r="J80" s="60"/>
      <c r="K80" s="73"/>
      <c r="L80" s="73"/>
      <c r="M80" s="67"/>
      <c r="N80" s="58"/>
      <c r="O80" s="58"/>
      <c r="P80" s="58"/>
      <c r="Q80" s="58"/>
      <c r="R80" s="58"/>
      <c r="S80" s="58"/>
      <c r="T80" s="58"/>
      <c r="U80" s="58"/>
      <c r="V80" s="58"/>
    </row>
    <row r="81" spans="1:22" x14ac:dyDescent="0.25">
      <c r="A81" s="72"/>
      <c r="B81" s="72"/>
      <c r="C81" s="73"/>
      <c r="D81" s="60"/>
      <c r="E81" s="72"/>
      <c r="F81" s="60"/>
      <c r="G81" s="60"/>
      <c r="H81" s="60"/>
      <c r="I81" s="60"/>
      <c r="J81" s="60"/>
      <c r="K81" s="73"/>
      <c r="L81" s="73"/>
      <c r="M81" s="67"/>
      <c r="N81" s="58"/>
      <c r="O81" s="58"/>
      <c r="P81" s="58"/>
      <c r="Q81" s="58"/>
      <c r="R81" s="58"/>
      <c r="S81" s="58"/>
      <c r="T81" s="58"/>
      <c r="U81" s="58"/>
      <c r="V81" s="58"/>
    </row>
    <row r="82" spans="1:22" x14ac:dyDescent="0.25">
      <c r="A82" s="72"/>
      <c r="B82" s="72"/>
      <c r="C82" s="73"/>
      <c r="D82" s="60"/>
      <c r="E82" s="72"/>
      <c r="F82" s="60"/>
      <c r="G82" s="60"/>
      <c r="H82" s="60"/>
      <c r="I82" s="60"/>
      <c r="J82" s="60"/>
      <c r="K82" s="73"/>
      <c r="L82" s="73"/>
      <c r="M82" s="67"/>
      <c r="N82" s="58"/>
      <c r="O82" s="58"/>
      <c r="P82" s="58"/>
      <c r="Q82" s="58"/>
      <c r="R82" s="58"/>
      <c r="S82" s="58"/>
      <c r="T82" s="58"/>
      <c r="U82" s="58"/>
      <c r="V82" s="58"/>
    </row>
    <row r="83" spans="1:22" x14ac:dyDescent="0.25">
      <c r="A83" s="72"/>
      <c r="B83" s="72"/>
      <c r="C83" s="73"/>
      <c r="D83" s="60"/>
      <c r="E83" s="72"/>
      <c r="F83" s="60"/>
      <c r="G83" s="60"/>
      <c r="H83" s="60"/>
      <c r="I83" s="60"/>
      <c r="J83" s="60"/>
      <c r="K83" s="73"/>
      <c r="L83" s="73"/>
      <c r="M83" s="67"/>
      <c r="N83" s="58"/>
      <c r="O83" s="58"/>
      <c r="P83" s="58"/>
      <c r="Q83" s="58"/>
      <c r="R83" s="58"/>
      <c r="S83" s="58"/>
      <c r="T83" s="58"/>
      <c r="U83" s="58"/>
      <c r="V83" s="58"/>
    </row>
    <row r="84" spans="1:22" x14ac:dyDescent="0.25">
      <c r="A84" s="72"/>
      <c r="B84" s="72"/>
      <c r="C84" s="73"/>
      <c r="D84" s="60"/>
      <c r="E84" s="72"/>
      <c r="F84" s="60"/>
      <c r="G84" s="60"/>
      <c r="H84" s="60"/>
      <c r="I84" s="60"/>
      <c r="J84" s="60"/>
      <c r="K84" s="73"/>
      <c r="L84" s="73"/>
      <c r="M84" s="67"/>
      <c r="N84" s="58"/>
      <c r="O84" s="58"/>
      <c r="P84" s="58"/>
      <c r="Q84" s="58"/>
      <c r="R84" s="58"/>
      <c r="S84" s="58"/>
      <c r="T84" s="58"/>
      <c r="U84" s="58"/>
      <c r="V84" s="58"/>
    </row>
    <row r="85" spans="1:22" x14ac:dyDescent="0.25">
      <c r="A85" s="72"/>
      <c r="B85" s="72"/>
      <c r="C85" s="73"/>
      <c r="D85" s="60"/>
      <c r="E85" s="72"/>
      <c r="F85" s="60"/>
      <c r="G85" s="60"/>
      <c r="H85" s="60"/>
      <c r="I85" s="60"/>
      <c r="J85" s="60"/>
      <c r="K85" s="73"/>
      <c r="L85" s="73"/>
      <c r="M85" s="67"/>
      <c r="N85" s="58"/>
      <c r="O85" s="58"/>
      <c r="P85" s="58"/>
      <c r="Q85" s="58"/>
      <c r="R85" s="58"/>
      <c r="S85" s="58"/>
      <c r="T85" s="58"/>
      <c r="U85" s="58"/>
      <c r="V85" s="58"/>
    </row>
    <row r="86" spans="1:22" x14ac:dyDescent="0.25">
      <c r="A86" s="72"/>
      <c r="B86" s="72"/>
      <c r="C86" s="73"/>
      <c r="D86" s="60"/>
      <c r="E86" s="72"/>
      <c r="F86" s="60"/>
      <c r="G86" s="60"/>
      <c r="H86" s="60"/>
      <c r="I86" s="60"/>
      <c r="J86" s="60"/>
      <c r="K86" s="73"/>
      <c r="L86" s="73"/>
      <c r="M86" s="67"/>
      <c r="N86" s="58"/>
      <c r="O86" s="58"/>
      <c r="P86" s="58"/>
      <c r="Q86" s="58"/>
      <c r="R86" s="58"/>
      <c r="S86" s="58"/>
      <c r="T86" s="58"/>
      <c r="U86" s="58"/>
      <c r="V86" s="58"/>
    </row>
    <row r="87" spans="1:22" x14ac:dyDescent="0.25">
      <c r="A87" s="72"/>
      <c r="B87" s="72"/>
      <c r="C87" s="73"/>
      <c r="D87" s="60"/>
      <c r="E87" s="72"/>
      <c r="F87" s="60"/>
      <c r="G87" s="60"/>
      <c r="H87" s="60"/>
      <c r="I87" s="60"/>
      <c r="J87" s="60"/>
      <c r="K87" s="73"/>
      <c r="L87" s="73"/>
      <c r="M87" s="67"/>
      <c r="N87" s="58"/>
      <c r="O87" s="58"/>
      <c r="P87" s="58"/>
      <c r="Q87" s="58"/>
      <c r="R87" s="58"/>
      <c r="S87" s="58"/>
      <c r="T87" s="58"/>
      <c r="U87" s="58"/>
      <c r="V87" s="58"/>
    </row>
    <row r="88" spans="1:22" x14ac:dyDescent="0.25">
      <c r="A88" s="72"/>
      <c r="B88" s="72"/>
      <c r="C88" s="73"/>
      <c r="D88" s="60"/>
      <c r="E88" s="72"/>
      <c r="F88" s="60"/>
      <c r="G88" s="60"/>
      <c r="H88" s="60"/>
      <c r="I88" s="60"/>
      <c r="J88" s="60"/>
      <c r="K88" s="73"/>
      <c r="L88" s="73"/>
      <c r="M88" s="67"/>
      <c r="N88" s="58"/>
      <c r="O88" s="58"/>
      <c r="P88" s="58"/>
      <c r="Q88" s="58"/>
      <c r="R88" s="58"/>
      <c r="S88" s="58"/>
      <c r="T88" s="58"/>
      <c r="U88" s="58"/>
      <c r="V88" s="58"/>
    </row>
    <row r="89" spans="1:22" x14ac:dyDescent="0.25">
      <c r="A89" s="72"/>
      <c r="B89" s="72"/>
      <c r="C89" s="73"/>
      <c r="D89" s="60"/>
      <c r="E89" s="72"/>
      <c r="F89" s="60"/>
      <c r="G89" s="60"/>
      <c r="H89" s="60"/>
      <c r="I89" s="60"/>
      <c r="J89" s="60"/>
      <c r="K89" s="73"/>
      <c r="L89" s="73"/>
      <c r="M89" s="67"/>
      <c r="N89" s="58"/>
      <c r="O89" s="58"/>
      <c r="P89" s="58"/>
      <c r="Q89" s="58"/>
      <c r="R89" s="58"/>
      <c r="S89" s="58"/>
      <c r="T89" s="58"/>
      <c r="U89" s="58"/>
      <c r="V89" s="58"/>
    </row>
    <row r="90" spans="1:22" x14ac:dyDescent="0.25">
      <c r="A90" s="72"/>
      <c r="B90" s="72"/>
      <c r="C90" s="73"/>
      <c r="D90" s="60"/>
      <c r="E90" s="72"/>
      <c r="F90" s="60"/>
      <c r="G90" s="60"/>
      <c r="H90" s="60"/>
      <c r="I90" s="60"/>
      <c r="J90" s="60"/>
      <c r="K90" s="73"/>
      <c r="L90" s="73"/>
      <c r="M90" s="67"/>
      <c r="N90" s="58"/>
      <c r="O90" s="58"/>
      <c r="P90" s="58"/>
      <c r="Q90" s="58"/>
      <c r="R90" s="58"/>
      <c r="S90" s="58"/>
      <c r="T90" s="58"/>
      <c r="U90" s="58"/>
      <c r="V90" s="58"/>
    </row>
    <row r="91" spans="1:22" x14ac:dyDescent="0.25">
      <c r="A91" s="72"/>
      <c r="B91" s="72"/>
      <c r="C91" s="73"/>
      <c r="D91" s="60"/>
      <c r="E91" s="72"/>
      <c r="F91" s="60"/>
      <c r="G91" s="60"/>
      <c r="H91" s="60"/>
      <c r="I91" s="60"/>
      <c r="J91" s="60"/>
      <c r="K91" s="73"/>
      <c r="L91" s="73"/>
      <c r="M91" s="67"/>
      <c r="N91" s="58"/>
      <c r="O91" s="58"/>
      <c r="P91" s="58"/>
      <c r="Q91" s="58"/>
      <c r="R91" s="58"/>
      <c r="S91" s="58"/>
      <c r="T91" s="58"/>
      <c r="U91" s="58"/>
      <c r="V91" s="58"/>
    </row>
    <row r="92" spans="1:22" x14ac:dyDescent="0.25">
      <c r="A92" s="72"/>
      <c r="B92" s="72"/>
      <c r="C92" s="73"/>
      <c r="D92" s="60"/>
      <c r="E92" s="72"/>
      <c r="F92" s="60"/>
      <c r="G92" s="60"/>
      <c r="H92" s="60"/>
      <c r="I92" s="60"/>
      <c r="J92" s="60"/>
      <c r="K92" s="73"/>
      <c r="L92" s="73"/>
      <c r="M92" s="67"/>
      <c r="N92" s="58"/>
      <c r="O92" s="58"/>
      <c r="P92" s="58"/>
      <c r="Q92" s="58"/>
      <c r="R92" s="58"/>
      <c r="S92" s="58"/>
      <c r="T92" s="58"/>
      <c r="U92" s="58"/>
      <c r="V92" s="58"/>
    </row>
    <row r="93" spans="1:22" x14ac:dyDescent="0.25">
      <c r="A93" s="72"/>
      <c r="B93" s="72"/>
      <c r="C93" s="73"/>
      <c r="D93" s="60"/>
      <c r="E93" s="72"/>
      <c r="F93" s="60"/>
      <c r="G93" s="60"/>
      <c r="H93" s="60"/>
      <c r="I93" s="60"/>
      <c r="J93" s="60"/>
      <c r="K93" s="73"/>
      <c r="L93" s="73"/>
      <c r="M93" s="67"/>
      <c r="N93" s="58"/>
      <c r="O93" s="58"/>
      <c r="P93" s="58"/>
      <c r="Q93" s="58"/>
      <c r="R93" s="58"/>
      <c r="S93" s="58"/>
      <c r="T93" s="58"/>
      <c r="U93" s="58"/>
      <c r="V93" s="58"/>
    </row>
    <row r="94" spans="1:22" x14ac:dyDescent="0.25">
      <c r="A94" s="72"/>
      <c r="B94" s="72"/>
      <c r="C94" s="73"/>
      <c r="D94" s="60"/>
      <c r="E94" s="72"/>
      <c r="F94" s="60"/>
      <c r="G94" s="60"/>
      <c r="H94" s="60"/>
      <c r="I94" s="60"/>
      <c r="J94" s="60"/>
      <c r="K94" s="73"/>
      <c r="L94" s="73"/>
      <c r="M94" s="67"/>
      <c r="N94" s="58"/>
      <c r="O94" s="58"/>
      <c r="P94" s="58"/>
      <c r="Q94" s="58"/>
      <c r="R94" s="58"/>
      <c r="S94" s="58"/>
      <c r="T94" s="58"/>
      <c r="U94" s="58"/>
      <c r="V94" s="58"/>
    </row>
    <row r="95" spans="1:22" x14ac:dyDescent="0.25">
      <c r="A95" s="72"/>
      <c r="B95" s="72"/>
      <c r="C95" s="73"/>
      <c r="D95" s="60"/>
      <c r="E95" s="72"/>
      <c r="F95" s="60"/>
      <c r="G95" s="60"/>
      <c r="H95" s="60"/>
      <c r="I95" s="60"/>
      <c r="J95" s="60"/>
      <c r="K95" s="73"/>
      <c r="L95" s="73"/>
      <c r="M95" s="67"/>
      <c r="N95" s="58"/>
      <c r="O95" s="58"/>
      <c r="P95" s="58"/>
      <c r="Q95" s="58"/>
      <c r="R95" s="58"/>
      <c r="S95" s="58"/>
      <c r="T95" s="58"/>
      <c r="U95" s="58"/>
      <c r="V95" s="58"/>
    </row>
    <row r="96" spans="1:22" x14ac:dyDescent="0.25">
      <c r="A96" s="72"/>
      <c r="B96" s="72"/>
      <c r="C96" s="73"/>
      <c r="D96" s="60"/>
      <c r="E96" s="72"/>
      <c r="F96" s="60"/>
      <c r="G96" s="60"/>
      <c r="H96" s="60"/>
      <c r="I96" s="60"/>
      <c r="J96" s="60"/>
      <c r="K96" s="73"/>
      <c r="L96" s="73"/>
      <c r="M96" s="67"/>
      <c r="N96" s="58"/>
      <c r="O96" s="58"/>
      <c r="P96" s="74"/>
      <c r="Q96" s="58"/>
      <c r="R96" s="58"/>
      <c r="S96" s="74"/>
      <c r="T96" s="74"/>
      <c r="U96" s="74"/>
      <c r="V96" s="58"/>
    </row>
    <row r="97" spans="1:22" x14ac:dyDescent="0.25">
      <c r="A97" s="72"/>
      <c r="B97" s="72"/>
      <c r="C97" s="73"/>
      <c r="D97" s="60"/>
      <c r="E97" s="72"/>
      <c r="F97" s="60"/>
      <c r="G97" s="60"/>
      <c r="H97" s="60"/>
      <c r="I97" s="60"/>
      <c r="J97" s="60"/>
      <c r="K97" s="73"/>
      <c r="L97" s="73"/>
      <c r="M97" s="67"/>
      <c r="N97" s="58"/>
      <c r="O97" s="58"/>
      <c r="P97" s="74"/>
      <c r="Q97" s="58"/>
      <c r="R97" s="58"/>
      <c r="S97" s="74"/>
      <c r="T97" s="74"/>
      <c r="U97" s="74"/>
      <c r="V97" s="58"/>
    </row>
    <row r="98" spans="1:22" x14ac:dyDescent="0.25">
      <c r="A98" s="72"/>
      <c r="B98" s="72"/>
      <c r="C98" s="73"/>
      <c r="D98" s="60"/>
      <c r="E98" s="72"/>
      <c r="F98" s="60"/>
      <c r="G98" s="60"/>
      <c r="H98" s="60"/>
      <c r="I98" s="60"/>
      <c r="J98" s="60"/>
      <c r="K98" s="73"/>
      <c r="L98" s="73"/>
      <c r="M98" s="67"/>
      <c r="N98" s="58"/>
      <c r="O98" s="58"/>
      <c r="P98" s="74"/>
      <c r="Q98" s="58"/>
      <c r="R98" s="58"/>
      <c r="S98" s="74"/>
      <c r="T98" s="74"/>
      <c r="U98" s="74"/>
      <c r="V98" s="58"/>
    </row>
    <row r="99" spans="1:22" x14ac:dyDescent="0.25">
      <c r="A99" s="72"/>
      <c r="B99" s="72"/>
      <c r="C99" s="73"/>
      <c r="D99" s="60"/>
      <c r="E99" s="72"/>
      <c r="F99" s="60"/>
      <c r="G99" s="60"/>
      <c r="H99" s="60"/>
      <c r="I99" s="60"/>
      <c r="J99" s="60"/>
      <c r="K99" s="73"/>
      <c r="L99" s="73"/>
      <c r="M99" s="67"/>
      <c r="N99" s="58"/>
      <c r="O99" s="58"/>
      <c r="P99" s="74"/>
      <c r="Q99" s="58"/>
      <c r="R99" s="58"/>
      <c r="S99" s="74"/>
      <c r="T99" s="74"/>
      <c r="U99" s="74"/>
      <c r="V99" s="58"/>
    </row>
    <row r="100" spans="1:22" x14ac:dyDescent="0.25">
      <c r="A100" s="72"/>
      <c r="B100" s="72"/>
      <c r="C100" s="73"/>
      <c r="D100" s="60"/>
      <c r="E100" s="72"/>
      <c r="F100" s="60"/>
      <c r="G100" s="60"/>
      <c r="H100" s="60"/>
      <c r="I100" s="60"/>
      <c r="J100" s="60"/>
      <c r="K100" s="73"/>
      <c r="L100" s="73"/>
      <c r="M100" s="67"/>
      <c r="N100" s="58"/>
      <c r="O100" s="58"/>
      <c r="P100" s="74"/>
      <c r="Q100" s="58"/>
      <c r="R100" s="58"/>
      <c r="S100" s="74"/>
      <c r="T100" s="74"/>
      <c r="U100" s="74"/>
      <c r="V100" s="58"/>
    </row>
    <row r="101" spans="1:22" x14ac:dyDescent="0.25">
      <c r="A101" s="72"/>
      <c r="B101" s="72"/>
      <c r="C101" s="73"/>
      <c r="D101" s="72"/>
      <c r="E101" s="72"/>
      <c r="F101" s="72"/>
      <c r="G101" s="72"/>
      <c r="H101" s="72"/>
      <c r="I101" s="72"/>
      <c r="J101" s="72"/>
      <c r="K101" s="73"/>
      <c r="L101" s="73"/>
      <c r="M101" s="67"/>
    </row>
    <row r="102" spans="1:22" x14ac:dyDescent="0.25">
      <c r="A102" s="72"/>
      <c r="B102" s="72"/>
      <c r="C102" s="73"/>
      <c r="D102" s="72"/>
      <c r="E102" s="72"/>
      <c r="F102" s="72"/>
      <c r="G102" s="72"/>
      <c r="H102" s="72"/>
      <c r="I102" s="72"/>
      <c r="J102" s="72"/>
      <c r="K102" s="73"/>
      <c r="L102" s="73"/>
      <c r="M102" s="67"/>
    </row>
    <row r="103" spans="1:22" x14ac:dyDescent="0.25">
      <c r="C103" s="71"/>
      <c r="K103" s="71"/>
      <c r="L103" s="71"/>
      <c r="M103" s="67"/>
    </row>
    <row r="104" spans="1:22" x14ac:dyDescent="0.25">
      <c r="C104" s="71"/>
      <c r="K104" s="71"/>
      <c r="L104" s="71"/>
      <c r="M104" s="67"/>
    </row>
    <row r="105" spans="1:22" x14ac:dyDescent="0.25">
      <c r="C105" s="71"/>
      <c r="K105" s="71"/>
      <c r="L105" s="71"/>
      <c r="M105" s="67"/>
    </row>
    <row r="106" spans="1:22" x14ac:dyDescent="0.25">
      <c r="C106" s="71"/>
      <c r="K106" s="71"/>
      <c r="L106" s="71"/>
      <c r="M106" s="67"/>
    </row>
    <row r="107" spans="1:22" x14ac:dyDescent="0.25">
      <c r="C107" s="71"/>
      <c r="K107" s="71"/>
      <c r="L107" s="71"/>
      <c r="M107" s="67"/>
    </row>
    <row r="108" spans="1:22" x14ac:dyDescent="0.25">
      <c r="C108" s="71"/>
      <c r="K108" s="71"/>
      <c r="L108" s="71"/>
      <c r="M108" s="67"/>
    </row>
    <row r="109" spans="1:22" x14ac:dyDescent="0.25">
      <c r="C109" s="71"/>
      <c r="K109" s="71"/>
      <c r="L109" s="71"/>
      <c r="M109" s="67"/>
    </row>
    <row r="110" spans="1:22" x14ac:dyDescent="0.25">
      <c r="C110" s="71"/>
      <c r="K110" s="71"/>
      <c r="L110" s="71"/>
      <c r="M110" s="67"/>
    </row>
    <row r="111" spans="1:22" x14ac:dyDescent="0.25">
      <c r="C111" s="71"/>
      <c r="K111" s="71"/>
      <c r="L111" s="71"/>
      <c r="M111" s="67"/>
    </row>
    <row r="112" spans="1:22" x14ac:dyDescent="0.25">
      <c r="C112" s="71"/>
      <c r="K112" s="71"/>
      <c r="L112" s="71"/>
      <c r="M112" s="67"/>
    </row>
    <row r="113" spans="2:13" x14ac:dyDescent="0.25">
      <c r="C113" s="71"/>
      <c r="K113" s="71"/>
      <c r="L113" s="71"/>
      <c r="M113" s="67"/>
    </row>
    <row r="114" spans="2:13" x14ac:dyDescent="0.25">
      <c r="C114" s="71"/>
      <c r="K114" s="71"/>
      <c r="L114" s="71"/>
      <c r="M114" s="67"/>
    </row>
    <row r="115" spans="2:13" x14ac:dyDescent="0.25">
      <c r="C115" s="71"/>
      <c r="K115" s="71"/>
      <c r="L115" s="71"/>
      <c r="M115" s="67"/>
    </row>
    <row r="116" spans="2:13" x14ac:dyDescent="0.25">
      <c r="C116" s="71"/>
      <c r="K116" s="71"/>
      <c r="L116" s="71"/>
      <c r="M116" s="67"/>
    </row>
    <row r="117" spans="2:13" x14ac:dyDescent="0.25">
      <c r="C117" s="71"/>
      <c r="K117" s="71"/>
      <c r="L117" s="71"/>
      <c r="M117" s="67"/>
    </row>
    <row r="118" spans="2:13" x14ac:dyDescent="0.25">
      <c r="C118" s="71"/>
      <c r="K118" s="71"/>
      <c r="L118" s="71"/>
      <c r="M118" s="67"/>
    </row>
    <row r="119" spans="2:13" x14ac:dyDescent="0.25">
      <c r="C119" s="71"/>
      <c r="K119" s="71"/>
      <c r="L119" s="71"/>
      <c r="M119" s="67"/>
    </row>
    <row r="120" spans="2:13" x14ac:dyDescent="0.25">
      <c r="B120" s="62"/>
      <c r="C120" s="71"/>
      <c r="K120" s="71"/>
      <c r="L120" s="71"/>
      <c r="M120" s="67"/>
    </row>
    <row r="121" spans="2:13" x14ac:dyDescent="0.25">
      <c r="C121" s="71"/>
      <c r="K121" s="71"/>
      <c r="L121" s="71"/>
      <c r="M121" s="67"/>
    </row>
    <row r="122" spans="2:13" x14ac:dyDescent="0.25">
      <c r="C122" s="71"/>
      <c r="K122" s="71"/>
      <c r="L122" s="71"/>
      <c r="M122" s="67"/>
    </row>
    <row r="123" spans="2:13" x14ac:dyDescent="0.25">
      <c r="C123" s="71"/>
      <c r="K123" s="71"/>
      <c r="L123" s="71"/>
      <c r="M123" s="67"/>
    </row>
    <row r="124" spans="2:13" x14ac:dyDescent="0.25">
      <c r="C124" s="71"/>
      <c r="K124" s="71"/>
      <c r="L124" s="71"/>
      <c r="M124" s="67"/>
    </row>
    <row r="125" spans="2:13" x14ac:dyDescent="0.25">
      <c r="C125" s="71"/>
      <c r="K125" s="71"/>
      <c r="L125" s="71"/>
      <c r="M125" s="67"/>
    </row>
    <row r="126" spans="2:13" x14ac:dyDescent="0.25">
      <c r="C126" s="71"/>
      <c r="K126" s="71"/>
      <c r="L126" s="71"/>
      <c r="M126" s="67"/>
    </row>
    <row r="127" spans="2:13" x14ac:dyDescent="0.25">
      <c r="C127" s="71"/>
      <c r="K127" s="71"/>
      <c r="L127" s="71"/>
      <c r="M127" s="67"/>
    </row>
    <row r="128" spans="2:13" x14ac:dyDescent="0.25">
      <c r="C128" s="71"/>
      <c r="K128" s="71"/>
      <c r="L128" s="71"/>
      <c r="M128" s="67"/>
    </row>
    <row r="129" spans="3:13" x14ac:dyDescent="0.25">
      <c r="C129" s="71"/>
      <c r="K129" s="71"/>
      <c r="L129" s="71"/>
      <c r="M129" s="67"/>
    </row>
    <row r="130" spans="3:13" x14ac:dyDescent="0.25">
      <c r="C130" s="71"/>
      <c r="K130" s="71"/>
      <c r="L130" s="71"/>
      <c r="M130" s="67"/>
    </row>
    <row r="131" spans="3:13" x14ac:dyDescent="0.25">
      <c r="C131" s="71"/>
      <c r="K131" s="71"/>
      <c r="L131" s="71"/>
      <c r="M131" s="67"/>
    </row>
    <row r="132" spans="3:13" x14ac:dyDescent="0.25">
      <c r="C132" s="71"/>
      <c r="K132" s="71"/>
      <c r="L132" s="71"/>
      <c r="M132" s="67"/>
    </row>
    <row r="133" spans="3:13" x14ac:dyDescent="0.25">
      <c r="C133" s="71"/>
      <c r="K133" s="71"/>
      <c r="L133" s="71"/>
      <c r="M133" s="67"/>
    </row>
    <row r="134" spans="3:13" x14ac:dyDescent="0.25">
      <c r="C134" s="71"/>
      <c r="K134" s="71"/>
      <c r="L134" s="71"/>
      <c r="M134" s="67"/>
    </row>
    <row r="135" spans="3:13" x14ac:dyDescent="0.25">
      <c r="C135" s="71"/>
      <c r="K135" s="71"/>
      <c r="L135" s="71"/>
      <c r="M135" s="67"/>
    </row>
    <row r="136" spans="3:13" x14ac:dyDescent="0.25">
      <c r="C136" s="71"/>
      <c r="K136" s="71"/>
      <c r="L136" s="71"/>
      <c r="M136" s="67"/>
    </row>
    <row r="137" spans="3:13" x14ac:dyDescent="0.25">
      <c r="C137" s="71"/>
      <c r="K137" s="71"/>
      <c r="L137" s="71"/>
      <c r="M137" s="67"/>
    </row>
    <row r="138" spans="3:13" x14ac:dyDescent="0.25">
      <c r="C138" s="71"/>
      <c r="K138" s="71"/>
      <c r="L138" s="71"/>
      <c r="M138" s="67"/>
    </row>
    <row r="139" spans="3:13" x14ac:dyDescent="0.25">
      <c r="C139" s="71"/>
      <c r="K139" s="71"/>
      <c r="L139" s="71"/>
      <c r="M139" s="67"/>
    </row>
    <row r="140" spans="3:13" x14ac:dyDescent="0.25">
      <c r="C140" s="71"/>
      <c r="K140" s="71"/>
      <c r="L140" s="71"/>
      <c r="M140" s="67"/>
    </row>
    <row r="141" spans="3:13" x14ac:dyDescent="0.25">
      <c r="C141" s="71"/>
      <c r="K141" s="71"/>
      <c r="L141" s="71"/>
      <c r="M141" s="67"/>
    </row>
    <row r="142" spans="3:13" x14ac:dyDescent="0.25">
      <c r="C142" s="71"/>
      <c r="K142" s="71"/>
      <c r="L142" s="71"/>
      <c r="M142" s="67"/>
    </row>
    <row r="143" spans="3:13" x14ac:dyDescent="0.25">
      <c r="C143" s="71"/>
      <c r="K143" s="71"/>
      <c r="L143" s="71"/>
      <c r="M143" s="67"/>
    </row>
    <row r="144" spans="3:13" x14ac:dyDescent="0.25">
      <c r="C144" s="71"/>
      <c r="K144" s="71"/>
      <c r="L144" s="71"/>
      <c r="M144" s="67"/>
    </row>
    <row r="145" spans="3:13" x14ac:dyDescent="0.25">
      <c r="C145" s="71"/>
      <c r="K145" s="71"/>
      <c r="L145" s="71"/>
      <c r="M145" s="67"/>
    </row>
    <row r="146" spans="3:13" x14ac:dyDescent="0.25">
      <c r="C146" s="71"/>
      <c r="K146" s="71"/>
      <c r="L146" s="71"/>
      <c r="M146" s="67"/>
    </row>
    <row r="147" spans="3:13" x14ac:dyDescent="0.25">
      <c r="C147" s="71"/>
      <c r="K147" s="71"/>
      <c r="L147" s="71"/>
      <c r="M147" s="67"/>
    </row>
    <row r="148" spans="3:13" x14ac:dyDescent="0.25">
      <c r="C148" s="71"/>
      <c r="K148" s="71"/>
      <c r="L148" s="71"/>
      <c r="M148" s="67"/>
    </row>
    <row r="149" spans="3:13" x14ac:dyDescent="0.25">
      <c r="C149" s="71"/>
      <c r="K149" s="71"/>
      <c r="L149" s="71"/>
      <c r="M149" s="67"/>
    </row>
    <row r="150" spans="3:13" x14ac:dyDescent="0.25">
      <c r="C150" s="71"/>
      <c r="K150" s="71"/>
      <c r="L150" s="71"/>
      <c r="M150" s="67"/>
    </row>
    <row r="151" spans="3:13" x14ac:dyDescent="0.25">
      <c r="C151" s="71"/>
      <c r="K151" s="71"/>
      <c r="L151" s="71"/>
      <c r="M151" s="67"/>
    </row>
    <row r="152" spans="3:13" x14ac:dyDescent="0.25">
      <c r="C152" s="71"/>
      <c r="K152" s="71"/>
      <c r="L152" s="71"/>
      <c r="M152" s="67"/>
    </row>
    <row r="153" spans="3:13" x14ac:dyDescent="0.25">
      <c r="C153" s="71"/>
      <c r="K153" s="71"/>
      <c r="L153" s="71"/>
      <c r="M153" s="67"/>
    </row>
    <row r="154" spans="3:13" x14ac:dyDescent="0.25">
      <c r="C154" s="71"/>
      <c r="K154" s="71"/>
      <c r="L154" s="71"/>
      <c r="M154" s="67"/>
    </row>
    <row r="155" spans="3:13" x14ac:dyDescent="0.25">
      <c r="C155" s="71"/>
      <c r="K155" s="71"/>
      <c r="L155" s="71"/>
      <c r="M155" s="67"/>
    </row>
    <row r="156" spans="3:13" x14ac:dyDescent="0.25">
      <c r="C156" s="71"/>
      <c r="K156" s="71"/>
      <c r="L156" s="71"/>
      <c r="M156" s="67"/>
    </row>
    <row r="157" spans="3:13" x14ac:dyDescent="0.25">
      <c r="C157" s="71"/>
      <c r="K157" s="71"/>
      <c r="L157" s="71"/>
      <c r="M157" s="67"/>
    </row>
    <row r="158" spans="3:13" x14ac:dyDescent="0.25">
      <c r="C158" s="71"/>
      <c r="K158" s="71"/>
      <c r="L158" s="71"/>
      <c r="M158" s="67"/>
    </row>
    <row r="159" spans="3:13" x14ac:dyDescent="0.25">
      <c r="C159" s="71"/>
      <c r="K159" s="71"/>
      <c r="L159" s="71"/>
      <c r="M159" s="67"/>
    </row>
    <row r="160" spans="3:13" x14ac:dyDescent="0.25">
      <c r="C160" s="71"/>
      <c r="K160" s="71"/>
      <c r="L160" s="71"/>
      <c r="M160" s="67"/>
    </row>
    <row r="161" spans="3:13" x14ac:dyDescent="0.25">
      <c r="C161" s="71"/>
      <c r="K161" s="71"/>
      <c r="L161" s="71"/>
      <c r="M161" s="67"/>
    </row>
    <row r="162" spans="3:13" x14ac:dyDescent="0.25">
      <c r="C162" s="71"/>
      <c r="K162" s="71"/>
      <c r="L162" s="71"/>
      <c r="M162" s="67"/>
    </row>
    <row r="163" spans="3:13" x14ac:dyDescent="0.25">
      <c r="C163" s="71"/>
      <c r="K163" s="71"/>
      <c r="L163" s="71"/>
      <c r="M163" s="67"/>
    </row>
    <row r="164" spans="3:13" x14ac:dyDescent="0.25">
      <c r="C164" s="71"/>
      <c r="K164" s="71"/>
      <c r="L164" s="71"/>
      <c r="M164" s="67"/>
    </row>
    <row r="165" spans="3:13" x14ac:dyDescent="0.25">
      <c r="C165" s="71"/>
      <c r="K165" s="71"/>
      <c r="L165" s="71"/>
      <c r="M165" s="67"/>
    </row>
    <row r="166" spans="3:13" x14ac:dyDescent="0.25">
      <c r="C166" s="71"/>
      <c r="K166" s="71"/>
      <c r="L166" s="71"/>
      <c r="M166" s="67"/>
    </row>
    <row r="167" spans="3:13" x14ac:dyDescent="0.25">
      <c r="C167" s="71"/>
      <c r="K167" s="71"/>
      <c r="L167" s="71"/>
      <c r="M167" s="67"/>
    </row>
    <row r="168" spans="3:13" x14ac:dyDescent="0.25">
      <c r="C168" s="71"/>
      <c r="K168" s="71"/>
      <c r="L168" s="71"/>
      <c r="M168" s="67"/>
    </row>
    <row r="169" spans="3:13" x14ac:dyDescent="0.25">
      <c r="C169" s="71"/>
      <c r="K169" s="71"/>
      <c r="L169" s="71"/>
      <c r="M169" s="67"/>
    </row>
    <row r="170" spans="3:13" x14ac:dyDescent="0.25">
      <c r="C170" s="71"/>
      <c r="K170" s="71"/>
      <c r="L170" s="71"/>
      <c r="M170" s="67"/>
    </row>
    <row r="171" spans="3:13" x14ac:dyDescent="0.25">
      <c r="C171" s="71"/>
      <c r="K171" s="71"/>
      <c r="L171" s="71"/>
      <c r="M171" s="67"/>
    </row>
    <row r="172" spans="3:13" x14ac:dyDescent="0.25">
      <c r="C172" s="71"/>
      <c r="K172" s="71"/>
      <c r="L172" s="71"/>
      <c r="M172" s="67"/>
    </row>
    <row r="173" spans="3:13" x14ac:dyDescent="0.25">
      <c r="C173" s="71"/>
      <c r="K173" s="71"/>
      <c r="L173" s="71"/>
      <c r="M173" s="67"/>
    </row>
    <row r="174" spans="3:13" x14ac:dyDescent="0.25">
      <c r="C174" s="71"/>
      <c r="K174" s="71"/>
      <c r="L174" s="71"/>
      <c r="M174" s="67"/>
    </row>
    <row r="175" spans="3:13" x14ac:dyDescent="0.25">
      <c r="C175" s="71"/>
      <c r="K175" s="71"/>
      <c r="L175" s="71"/>
      <c r="M175" s="67"/>
    </row>
    <row r="176" spans="3:13" x14ac:dyDescent="0.25">
      <c r="C176" s="71"/>
      <c r="K176" s="71"/>
      <c r="L176" s="71"/>
      <c r="M176" s="67"/>
    </row>
    <row r="177" spans="2:13" x14ac:dyDescent="0.25">
      <c r="C177" s="71"/>
      <c r="K177" s="71"/>
      <c r="L177" s="71"/>
      <c r="M177" s="67"/>
    </row>
    <row r="178" spans="2:13" x14ac:dyDescent="0.25">
      <c r="C178" s="71"/>
      <c r="K178" s="71"/>
      <c r="L178" s="71"/>
      <c r="M178" s="67"/>
    </row>
    <row r="179" spans="2:13" x14ac:dyDescent="0.25">
      <c r="C179" s="71"/>
      <c r="K179" s="71"/>
      <c r="L179" s="71"/>
      <c r="M179" s="67"/>
    </row>
    <row r="180" spans="2:13" x14ac:dyDescent="0.25">
      <c r="C180" s="71"/>
      <c r="K180" s="71"/>
      <c r="L180" s="71"/>
      <c r="M180" s="67"/>
    </row>
    <row r="181" spans="2:13" x14ac:dyDescent="0.25">
      <c r="C181" s="71"/>
      <c r="K181" s="71"/>
      <c r="L181" s="71"/>
      <c r="M181" s="67"/>
    </row>
    <row r="182" spans="2:13" x14ac:dyDescent="0.25">
      <c r="C182" s="71"/>
      <c r="K182" s="71"/>
      <c r="L182" s="71"/>
      <c r="M182" s="67"/>
    </row>
    <row r="183" spans="2:13" x14ac:dyDescent="0.25">
      <c r="C183" s="71"/>
      <c r="K183" s="71"/>
      <c r="L183" s="71"/>
      <c r="M183" s="67"/>
    </row>
    <row r="184" spans="2:13" x14ac:dyDescent="0.25">
      <c r="C184" s="71"/>
      <c r="K184" s="71"/>
      <c r="L184" s="71"/>
      <c r="M184" s="67"/>
    </row>
    <row r="185" spans="2:13" x14ac:dyDescent="0.25">
      <c r="C185" s="71"/>
      <c r="K185" s="71"/>
      <c r="L185" s="71"/>
      <c r="M185" s="67"/>
    </row>
    <row r="186" spans="2:13" x14ac:dyDescent="0.25">
      <c r="C186" s="71"/>
      <c r="K186" s="71"/>
      <c r="L186" s="71"/>
      <c r="M186" s="67"/>
    </row>
    <row r="187" spans="2:13" x14ac:dyDescent="0.25">
      <c r="C187" s="71"/>
      <c r="K187" s="71"/>
      <c r="L187" s="71"/>
      <c r="M187" s="67"/>
    </row>
    <row r="188" spans="2:13" x14ac:dyDescent="0.25">
      <c r="C188" s="71"/>
      <c r="K188" s="71"/>
      <c r="L188" s="71"/>
      <c r="M188" s="67"/>
    </row>
    <row r="189" spans="2:13" x14ac:dyDescent="0.25">
      <c r="C189" s="71"/>
      <c r="K189" s="71"/>
      <c r="L189" s="71"/>
      <c r="M189" s="67"/>
    </row>
    <row r="190" spans="2:13" x14ac:dyDescent="0.25">
      <c r="C190" s="71"/>
      <c r="K190" s="71"/>
      <c r="L190" s="71"/>
      <c r="M190" s="67"/>
    </row>
    <row r="191" spans="2:13" x14ac:dyDescent="0.25">
      <c r="C191" s="71"/>
      <c r="K191" s="71"/>
      <c r="L191" s="71"/>
      <c r="M191" s="67"/>
    </row>
    <row r="192" spans="2:13" x14ac:dyDescent="0.25">
      <c r="B192" s="75"/>
      <c r="C192" s="71"/>
      <c r="K192" s="71"/>
      <c r="L192" s="71"/>
      <c r="M192" s="67"/>
    </row>
    <row r="193" spans="2:13" x14ac:dyDescent="0.25">
      <c r="B193" s="75"/>
      <c r="C193" s="71"/>
      <c r="K193" s="71"/>
      <c r="L193" s="71"/>
      <c r="M193" s="67"/>
    </row>
    <row r="194" spans="2:13" x14ac:dyDescent="0.25">
      <c r="B194" s="75"/>
      <c r="C194" s="71"/>
      <c r="K194" s="71"/>
      <c r="L194" s="71"/>
      <c r="M194" s="67"/>
    </row>
    <row r="195" spans="2:13" x14ac:dyDescent="0.25">
      <c r="B195" s="75"/>
      <c r="C195" s="71"/>
      <c r="K195" s="71"/>
      <c r="L195" s="71"/>
      <c r="M195" s="67"/>
    </row>
    <row r="196" spans="2:13" x14ac:dyDescent="0.25">
      <c r="B196" s="75"/>
      <c r="C196" s="71"/>
      <c r="K196" s="71"/>
      <c r="L196" s="71"/>
      <c r="M196" s="67"/>
    </row>
    <row r="197" spans="2:13" x14ac:dyDescent="0.25">
      <c r="B197" s="75"/>
      <c r="C197" s="71"/>
      <c r="K197" s="71"/>
      <c r="L197" s="71"/>
      <c r="M197" s="67"/>
    </row>
    <row r="198" spans="2:13" x14ac:dyDescent="0.25">
      <c r="B198" s="75"/>
      <c r="C198" s="71"/>
      <c r="K198" s="71"/>
      <c r="L198" s="71"/>
      <c r="M198" s="67"/>
    </row>
    <row r="199" spans="2:13" x14ac:dyDescent="0.25">
      <c r="B199" s="75"/>
      <c r="C199" s="71"/>
      <c r="K199" s="71"/>
      <c r="L199" s="71"/>
      <c r="M199" s="67"/>
    </row>
    <row r="200" spans="2:13" x14ac:dyDescent="0.25">
      <c r="B200" s="75"/>
      <c r="C200" s="71"/>
      <c r="K200" s="71"/>
      <c r="L200" s="71"/>
      <c r="M200" s="67"/>
    </row>
    <row r="201" spans="2:13" x14ac:dyDescent="0.25">
      <c r="B201" s="75"/>
      <c r="C201" s="71"/>
      <c r="K201" s="71"/>
      <c r="L201" s="71"/>
      <c r="M201" s="67"/>
    </row>
    <row r="202" spans="2:13" x14ac:dyDescent="0.25">
      <c r="B202" s="75"/>
      <c r="C202" s="71"/>
      <c r="K202" s="71"/>
      <c r="L202" s="71"/>
      <c r="M202" s="67"/>
    </row>
    <row r="203" spans="2:13" x14ac:dyDescent="0.25">
      <c r="B203" s="75"/>
      <c r="C203" s="71"/>
      <c r="K203" s="71"/>
      <c r="L203" s="71"/>
      <c r="M203" s="67"/>
    </row>
    <row r="204" spans="2:13" x14ac:dyDescent="0.25">
      <c r="B204" s="75"/>
      <c r="C204" s="71"/>
      <c r="K204" s="71"/>
      <c r="L204" s="71"/>
      <c r="M204" s="67"/>
    </row>
    <row r="205" spans="2:13" x14ac:dyDescent="0.25">
      <c r="B205" s="75"/>
      <c r="C205" s="71"/>
      <c r="K205" s="71"/>
      <c r="L205" s="71"/>
      <c r="M205" s="67"/>
    </row>
    <row r="206" spans="2:13" x14ac:dyDescent="0.25">
      <c r="B206" s="75"/>
      <c r="C206" s="71"/>
      <c r="K206" s="71"/>
      <c r="L206" s="71"/>
      <c r="M206" s="67"/>
    </row>
    <row r="207" spans="2:13" x14ac:dyDescent="0.25">
      <c r="B207" s="75"/>
      <c r="C207" s="71"/>
      <c r="K207" s="71"/>
      <c r="L207" s="71"/>
      <c r="M207" s="67"/>
    </row>
    <row r="208" spans="2:13" x14ac:dyDescent="0.25">
      <c r="B208" s="75"/>
      <c r="C208" s="71"/>
      <c r="K208" s="71"/>
      <c r="L208" s="71"/>
      <c r="M208" s="67"/>
    </row>
    <row r="209" spans="2:13" x14ac:dyDescent="0.25">
      <c r="B209" s="75"/>
      <c r="C209" s="71"/>
      <c r="K209" s="71"/>
      <c r="L209" s="71"/>
      <c r="M209" s="67"/>
    </row>
    <row r="210" spans="2:13" x14ac:dyDescent="0.25">
      <c r="B210" s="75"/>
      <c r="C210" s="71"/>
      <c r="K210" s="71"/>
      <c r="L210" s="71"/>
      <c r="M210" s="67"/>
    </row>
    <row r="211" spans="2:13" x14ac:dyDescent="0.25">
      <c r="B211" s="75"/>
      <c r="C211" s="71"/>
      <c r="K211" s="71"/>
      <c r="L211" s="71"/>
      <c r="M211" s="67"/>
    </row>
    <row r="212" spans="2:13" x14ac:dyDescent="0.25">
      <c r="B212" s="75"/>
      <c r="C212" s="71"/>
      <c r="K212" s="71"/>
      <c r="L212" s="71"/>
      <c r="M212" s="67"/>
    </row>
    <row r="213" spans="2:13" x14ac:dyDescent="0.25">
      <c r="B213" s="75"/>
      <c r="C213" s="71"/>
      <c r="K213" s="71"/>
      <c r="L213" s="71"/>
      <c r="M213" s="67"/>
    </row>
    <row r="214" spans="2:13" x14ac:dyDescent="0.25">
      <c r="B214" s="75"/>
      <c r="C214" s="71"/>
      <c r="K214" s="71"/>
      <c r="L214" s="71"/>
      <c r="M214" s="67"/>
    </row>
    <row r="215" spans="2:13" x14ac:dyDescent="0.25">
      <c r="B215" s="75"/>
      <c r="C215" s="71"/>
      <c r="K215" s="71"/>
      <c r="L215" s="71"/>
      <c r="M215" s="67"/>
    </row>
    <row r="216" spans="2:13" x14ac:dyDescent="0.25">
      <c r="B216" s="75"/>
      <c r="C216" s="71"/>
      <c r="K216" s="71"/>
      <c r="L216" s="71"/>
      <c r="M216" s="67"/>
    </row>
    <row r="217" spans="2:13" x14ac:dyDescent="0.25">
      <c r="B217" s="75"/>
      <c r="C217" s="71"/>
      <c r="K217" s="71"/>
      <c r="L217" s="71"/>
      <c r="M217" s="67"/>
    </row>
    <row r="218" spans="2:13" x14ac:dyDescent="0.25">
      <c r="B218" s="75"/>
      <c r="C218" s="71"/>
      <c r="K218" s="71"/>
      <c r="L218" s="71"/>
      <c r="M218" s="67"/>
    </row>
    <row r="219" spans="2:13" x14ac:dyDescent="0.25">
      <c r="B219" s="75"/>
      <c r="C219" s="71"/>
      <c r="K219" s="71"/>
      <c r="L219" s="71"/>
      <c r="M219" s="67"/>
    </row>
    <row r="220" spans="2:13" x14ac:dyDescent="0.25">
      <c r="B220" s="75"/>
      <c r="C220" s="71"/>
      <c r="K220" s="71"/>
      <c r="L220" s="71"/>
      <c r="M220" s="67"/>
    </row>
    <row r="221" spans="2:13" x14ac:dyDescent="0.25">
      <c r="B221" s="75"/>
      <c r="C221" s="71"/>
      <c r="K221" s="71"/>
      <c r="L221" s="71"/>
      <c r="M221" s="67"/>
    </row>
    <row r="222" spans="2:13" x14ac:dyDescent="0.25">
      <c r="B222" s="75"/>
      <c r="C222" s="71"/>
      <c r="K222" s="71"/>
      <c r="L222" s="71"/>
      <c r="M222" s="67"/>
    </row>
    <row r="223" spans="2:13" x14ac:dyDescent="0.25">
      <c r="B223" s="75"/>
      <c r="C223" s="71"/>
      <c r="K223" s="71"/>
      <c r="L223" s="71"/>
      <c r="M223" s="67"/>
    </row>
    <row r="224" spans="2:13" x14ac:dyDescent="0.25">
      <c r="B224" s="75"/>
      <c r="C224" s="71"/>
      <c r="K224" s="71"/>
      <c r="L224" s="71"/>
      <c r="M224" s="67"/>
    </row>
    <row r="225" spans="2:13" x14ac:dyDescent="0.25">
      <c r="B225" s="75"/>
      <c r="C225" s="71"/>
      <c r="K225" s="71"/>
      <c r="L225" s="71"/>
      <c r="M225" s="67"/>
    </row>
    <row r="226" spans="2:13" x14ac:dyDescent="0.25">
      <c r="B226" s="75"/>
      <c r="C226" s="71"/>
      <c r="K226" s="71"/>
      <c r="L226" s="71"/>
      <c r="M226" s="67"/>
    </row>
    <row r="227" spans="2:13" x14ac:dyDescent="0.25">
      <c r="B227" s="75"/>
      <c r="C227" s="71"/>
      <c r="K227" s="71"/>
      <c r="L227" s="71"/>
      <c r="M227" s="67"/>
    </row>
    <row r="228" spans="2:13" x14ac:dyDescent="0.25">
      <c r="B228" s="75"/>
      <c r="C228" s="71"/>
      <c r="K228" s="71"/>
      <c r="L228" s="71"/>
      <c r="M228" s="67"/>
    </row>
    <row r="229" spans="2:13" x14ac:dyDescent="0.25">
      <c r="B229" s="75"/>
      <c r="C229" s="71"/>
      <c r="K229" s="71"/>
      <c r="L229" s="71"/>
      <c r="M229" s="67"/>
    </row>
    <row r="230" spans="2:13" x14ac:dyDescent="0.25">
      <c r="B230" s="75"/>
      <c r="C230" s="71"/>
      <c r="K230" s="71"/>
      <c r="L230" s="71"/>
      <c r="M230" s="67"/>
    </row>
    <row r="231" spans="2:13" x14ac:dyDescent="0.25">
      <c r="B231" s="75"/>
      <c r="C231" s="71"/>
      <c r="K231" s="71"/>
      <c r="L231" s="71"/>
      <c r="M231" s="67"/>
    </row>
    <row r="232" spans="2:13" x14ac:dyDescent="0.25">
      <c r="B232" s="75"/>
      <c r="C232" s="71"/>
      <c r="K232" s="71"/>
      <c r="L232" s="71"/>
      <c r="M232" s="67"/>
    </row>
    <row r="233" spans="2:13" x14ac:dyDescent="0.25">
      <c r="B233" s="75"/>
      <c r="C233" s="71"/>
      <c r="K233" s="71"/>
      <c r="L233" s="71"/>
      <c r="M233" s="67"/>
    </row>
    <row r="234" spans="2:13" x14ac:dyDescent="0.25">
      <c r="B234" s="75"/>
      <c r="C234" s="71"/>
      <c r="K234" s="71"/>
      <c r="L234" s="71"/>
      <c r="M234" s="67"/>
    </row>
    <row r="235" spans="2:13" x14ac:dyDescent="0.25">
      <c r="B235" s="75"/>
      <c r="C235" s="71"/>
      <c r="K235" s="71"/>
      <c r="L235" s="71"/>
      <c r="M235" s="67"/>
    </row>
    <row r="236" spans="2:13" x14ac:dyDescent="0.25">
      <c r="B236" s="75"/>
      <c r="C236" s="71"/>
      <c r="K236" s="71"/>
      <c r="L236" s="71"/>
      <c r="M236" s="67"/>
    </row>
    <row r="237" spans="2:13" x14ac:dyDescent="0.25">
      <c r="B237" s="75"/>
      <c r="C237" s="71"/>
      <c r="K237" s="71"/>
      <c r="L237" s="71"/>
      <c r="M237" s="67"/>
    </row>
    <row r="238" spans="2:13" x14ac:dyDescent="0.25">
      <c r="B238" s="75"/>
      <c r="C238" s="71"/>
      <c r="K238" s="71"/>
      <c r="L238" s="71"/>
      <c r="M238" s="67"/>
    </row>
    <row r="239" spans="2:13" x14ac:dyDescent="0.25">
      <c r="B239" s="75"/>
      <c r="C239" s="71"/>
      <c r="K239" s="71"/>
      <c r="L239" s="71"/>
      <c r="M239" s="67"/>
    </row>
    <row r="240" spans="2:13" x14ac:dyDescent="0.25">
      <c r="B240" s="75"/>
      <c r="C240" s="71"/>
      <c r="K240" s="71"/>
      <c r="L240" s="71"/>
      <c r="M240" s="67"/>
    </row>
    <row r="241" spans="2:13" x14ac:dyDescent="0.25">
      <c r="B241" s="75"/>
      <c r="C241" s="71"/>
      <c r="K241" s="71"/>
      <c r="L241" s="71"/>
      <c r="M241" s="67"/>
    </row>
    <row r="242" spans="2:13" x14ac:dyDescent="0.25">
      <c r="B242" s="75"/>
      <c r="C242" s="71"/>
      <c r="K242" s="71"/>
      <c r="L242" s="71"/>
      <c r="M242" s="67"/>
    </row>
    <row r="243" spans="2:13" x14ac:dyDescent="0.25">
      <c r="B243" s="75"/>
      <c r="C243" s="71"/>
      <c r="K243" s="71"/>
      <c r="L243" s="71"/>
      <c r="M243" s="67"/>
    </row>
    <row r="244" spans="2:13" x14ac:dyDescent="0.25">
      <c r="B244" s="75"/>
      <c r="C244" s="71"/>
      <c r="K244" s="71"/>
      <c r="L244" s="71"/>
      <c r="M244" s="67"/>
    </row>
    <row r="245" spans="2:13" x14ac:dyDescent="0.25">
      <c r="B245" s="75"/>
      <c r="C245" s="71"/>
      <c r="K245" s="71"/>
      <c r="L245" s="71"/>
      <c r="M245" s="67"/>
    </row>
    <row r="246" spans="2:13" x14ac:dyDescent="0.25">
      <c r="B246" s="75"/>
      <c r="C246" s="71"/>
      <c r="K246" s="71"/>
      <c r="L246" s="71"/>
      <c r="M246" s="67"/>
    </row>
    <row r="247" spans="2:13" x14ac:dyDescent="0.25">
      <c r="B247" s="75"/>
      <c r="C247" s="71"/>
      <c r="K247" s="71"/>
      <c r="L247" s="71"/>
      <c r="M247" s="67"/>
    </row>
    <row r="248" spans="2:13" x14ac:dyDescent="0.25">
      <c r="B248" s="75"/>
      <c r="C248" s="71"/>
      <c r="K248" s="71"/>
      <c r="L248" s="71"/>
      <c r="M248" s="67"/>
    </row>
    <row r="249" spans="2:13" x14ac:dyDescent="0.25">
      <c r="B249" s="75"/>
      <c r="C249" s="71"/>
      <c r="K249" s="71"/>
      <c r="L249" s="71"/>
      <c r="M249" s="67"/>
    </row>
    <row r="250" spans="2:13" x14ac:dyDescent="0.25">
      <c r="B250" s="75"/>
      <c r="C250" s="71"/>
      <c r="K250" s="71"/>
      <c r="L250" s="71"/>
      <c r="M250" s="67"/>
    </row>
    <row r="251" spans="2:13" x14ac:dyDescent="0.25">
      <c r="B251" s="75"/>
      <c r="C251" s="71"/>
      <c r="K251" s="71"/>
      <c r="L251" s="71"/>
      <c r="M251" s="67"/>
    </row>
    <row r="252" spans="2:13" x14ac:dyDescent="0.25">
      <c r="B252" s="75"/>
      <c r="C252" s="71"/>
      <c r="K252" s="71"/>
      <c r="L252" s="71"/>
      <c r="M252" s="67"/>
    </row>
    <row r="253" spans="2:13" x14ac:dyDescent="0.25">
      <c r="B253" s="75"/>
      <c r="C253" s="71"/>
      <c r="K253" s="71"/>
      <c r="L253" s="71"/>
      <c r="M253" s="67"/>
    </row>
    <row r="254" spans="2:13" x14ac:dyDescent="0.25">
      <c r="B254" s="75"/>
      <c r="C254" s="71"/>
      <c r="K254" s="71"/>
      <c r="L254" s="71"/>
      <c r="M254" s="67"/>
    </row>
    <row r="255" spans="2:13" x14ac:dyDescent="0.25">
      <c r="B255" s="75"/>
      <c r="C255" s="71"/>
      <c r="K255" s="71"/>
      <c r="L255" s="71"/>
      <c r="M255" s="67"/>
    </row>
    <row r="256" spans="2:13" x14ac:dyDescent="0.25">
      <c r="B256" s="75"/>
      <c r="C256" s="71"/>
      <c r="K256" s="71"/>
      <c r="L256" s="71"/>
      <c r="M256" s="67"/>
    </row>
    <row r="257" spans="2:13" x14ac:dyDescent="0.25">
      <c r="B257" s="75"/>
      <c r="C257" s="71"/>
      <c r="K257" s="71"/>
      <c r="L257" s="71"/>
      <c r="M257" s="67"/>
    </row>
    <row r="258" spans="2:13" x14ac:dyDescent="0.25">
      <c r="B258" s="75"/>
      <c r="C258" s="71"/>
      <c r="K258" s="71"/>
      <c r="L258" s="71"/>
      <c r="M258" s="67"/>
    </row>
    <row r="259" spans="2:13" x14ac:dyDescent="0.25">
      <c r="B259" s="75"/>
      <c r="C259" s="71"/>
      <c r="K259" s="71"/>
      <c r="L259" s="71"/>
      <c r="M259" s="67"/>
    </row>
    <row r="260" spans="2:13" x14ac:dyDescent="0.25">
      <c r="B260" s="75"/>
      <c r="C260" s="71"/>
      <c r="K260" s="71"/>
      <c r="L260" s="71"/>
      <c r="M260" s="67"/>
    </row>
    <row r="261" spans="2:13" x14ac:dyDescent="0.25">
      <c r="B261" s="75"/>
      <c r="C261" s="71"/>
      <c r="K261" s="71"/>
      <c r="L261" s="71"/>
      <c r="M261" s="67"/>
    </row>
    <row r="262" spans="2:13" x14ac:dyDescent="0.25">
      <c r="B262" s="75"/>
      <c r="C262" s="71"/>
      <c r="K262" s="71"/>
      <c r="L262" s="71"/>
      <c r="M262" s="67"/>
    </row>
    <row r="263" spans="2:13" x14ac:dyDescent="0.25">
      <c r="B263" s="75"/>
      <c r="C263" s="71"/>
      <c r="K263" s="71"/>
      <c r="L263" s="71"/>
      <c r="M263" s="67"/>
    </row>
    <row r="264" spans="2:13" x14ac:dyDescent="0.25">
      <c r="B264" s="75"/>
      <c r="C264" s="71"/>
      <c r="K264" s="71"/>
      <c r="L264" s="71"/>
      <c r="M264" s="67"/>
    </row>
    <row r="265" spans="2:13" x14ac:dyDescent="0.25">
      <c r="B265" s="75"/>
      <c r="C265" s="71"/>
      <c r="K265" s="71"/>
      <c r="L265" s="71"/>
      <c r="M265" s="67"/>
    </row>
    <row r="266" spans="2:13" x14ac:dyDescent="0.25">
      <c r="B266" s="75"/>
      <c r="C266" s="71"/>
      <c r="K266" s="71"/>
      <c r="L266" s="71"/>
      <c r="M266" s="67"/>
    </row>
    <row r="267" spans="2:13" x14ac:dyDescent="0.25">
      <c r="B267" s="75"/>
      <c r="C267" s="71"/>
      <c r="K267" s="71"/>
      <c r="L267" s="71"/>
      <c r="M267" s="67"/>
    </row>
    <row r="268" spans="2:13" x14ac:dyDescent="0.25">
      <c r="B268" s="75"/>
      <c r="C268" s="71"/>
      <c r="K268" s="71"/>
      <c r="L268" s="71"/>
      <c r="M268" s="67"/>
    </row>
    <row r="269" spans="2:13" x14ac:dyDescent="0.25">
      <c r="B269" s="75"/>
      <c r="C269" s="71"/>
      <c r="K269" s="71"/>
      <c r="L269" s="71"/>
      <c r="M269" s="67"/>
    </row>
    <row r="270" spans="2:13" x14ac:dyDescent="0.25">
      <c r="B270" s="75"/>
      <c r="C270" s="71"/>
      <c r="K270" s="71"/>
      <c r="L270" s="71"/>
      <c r="M270" s="67"/>
    </row>
    <row r="271" spans="2:13" x14ac:dyDescent="0.25">
      <c r="B271" s="75"/>
      <c r="C271" s="71"/>
      <c r="K271" s="71"/>
      <c r="L271" s="71"/>
      <c r="M271" s="67"/>
    </row>
    <row r="272" spans="2:13" x14ac:dyDescent="0.25">
      <c r="B272" s="75"/>
      <c r="C272" s="71"/>
      <c r="K272" s="71"/>
      <c r="L272" s="71"/>
      <c r="M272" s="67"/>
    </row>
    <row r="273" spans="3:13" x14ac:dyDescent="0.25">
      <c r="C273" s="71"/>
      <c r="K273" s="71"/>
      <c r="L273" s="71"/>
      <c r="M273" s="67"/>
    </row>
    <row r="274" spans="3:13" x14ac:dyDescent="0.25">
      <c r="C274" s="71"/>
      <c r="K274" s="71"/>
      <c r="L274" s="71"/>
      <c r="M274" s="67"/>
    </row>
    <row r="275" spans="3:13" x14ac:dyDescent="0.25">
      <c r="C275" s="71"/>
      <c r="K275" s="71"/>
      <c r="L275" s="71"/>
      <c r="M275" s="67"/>
    </row>
    <row r="276" spans="3:13" x14ac:dyDescent="0.25">
      <c r="C276" s="71"/>
      <c r="K276" s="71"/>
      <c r="L276" s="71"/>
      <c r="M276" s="67"/>
    </row>
    <row r="277" spans="3:13" x14ac:dyDescent="0.25">
      <c r="C277" s="71"/>
      <c r="K277" s="71"/>
      <c r="L277" s="71"/>
      <c r="M277" s="67"/>
    </row>
    <row r="278" spans="3:13" x14ac:dyDescent="0.25">
      <c r="C278" s="71"/>
      <c r="K278" s="71"/>
      <c r="L278" s="71"/>
      <c r="M278" s="67"/>
    </row>
    <row r="279" spans="3:13" x14ac:dyDescent="0.25">
      <c r="C279" s="71"/>
      <c r="K279" s="71"/>
      <c r="L279" s="71"/>
      <c r="M279" s="67"/>
    </row>
    <row r="280" spans="3:13" x14ac:dyDescent="0.25">
      <c r="C280" s="71"/>
      <c r="K280" s="71"/>
      <c r="L280" s="71"/>
      <c r="M280" s="67"/>
    </row>
    <row r="281" spans="3:13" x14ac:dyDescent="0.25">
      <c r="C281" s="71"/>
      <c r="K281" s="71"/>
      <c r="L281" s="71"/>
      <c r="M281" s="67"/>
    </row>
    <row r="282" spans="3:13" x14ac:dyDescent="0.25">
      <c r="C282" s="71"/>
      <c r="K282" s="71"/>
      <c r="L282" s="71"/>
      <c r="M282" s="67"/>
    </row>
    <row r="283" spans="3:13" x14ac:dyDescent="0.25">
      <c r="C283" s="71"/>
      <c r="K283" s="71"/>
      <c r="L283" s="71"/>
      <c r="M283" s="67"/>
    </row>
    <row r="284" spans="3:13" x14ac:dyDescent="0.25">
      <c r="C284" s="71"/>
      <c r="K284" s="71"/>
      <c r="L284" s="71"/>
      <c r="M284" s="67"/>
    </row>
    <row r="285" spans="3:13" x14ac:dyDescent="0.25">
      <c r="C285" s="71"/>
      <c r="K285" s="71"/>
      <c r="L285" s="71"/>
      <c r="M285" s="67"/>
    </row>
    <row r="286" spans="3:13" x14ac:dyDescent="0.25">
      <c r="C286" s="71"/>
      <c r="K286" s="71"/>
      <c r="L286" s="71"/>
      <c r="M286" s="67"/>
    </row>
    <row r="287" spans="3:13" x14ac:dyDescent="0.25">
      <c r="C287" s="71"/>
      <c r="K287" s="71"/>
      <c r="L287" s="71"/>
      <c r="M287" s="67"/>
    </row>
    <row r="288" spans="3:13" x14ac:dyDescent="0.25">
      <c r="C288" s="71"/>
      <c r="K288" s="71"/>
      <c r="L288" s="71"/>
      <c r="M288" s="67"/>
    </row>
    <row r="289" spans="3:13" x14ac:dyDescent="0.25">
      <c r="C289" s="71"/>
      <c r="K289" s="71"/>
      <c r="L289" s="71"/>
      <c r="M289" s="67"/>
    </row>
    <row r="290" spans="3:13" x14ac:dyDescent="0.25">
      <c r="C290" s="71"/>
      <c r="K290" s="71"/>
      <c r="L290" s="71"/>
      <c r="M290" s="67"/>
    </row>
    <row r="291" spans="3:13" x14ac:dyDescent="0.25">
      <c r="C291" s="71"/>
      <c r="K291" s="71"/>
      <c r="L291" s="71"/>
      <c r="M291" s="67"/>
    </row>
    <row r="292" spans="3:13" x14ac:dyDescent="0.25">
      <c r="C292" s="71"/>
      <c r="K292" s="71"/>
      <c r="L292" s="71"/>
      <c r="M292" s="67"/>
    </row>
    <row r="293" spans="3:13" x14ac:dyDescent="0.25">
      <c r="C293" s="71"/>
      <c r="K293" s="71"/>
      <c r="L293" s="71"/>
      <c r="M293" s="67"/>
    </row>
    <row r="294" spans="3:13" x14ac:dyDescent="0.25">
      <c r="C294" s="71"/>
      <c r="K294" s="71"/>
      <c r="L294" s="71"/>
      <c r="M294" s="67"/>
    </row>
    <row r="295" spans="3:13" x14ac:dyDescent="0.25">
      <c r="C295" s="71"/>
      <c r="K295" s="71"/>
      <c r="L295" s="71"/>
      <c r="M295" s="67"/>
    </row>
    <row r="296" spans="3:13" x14ac:dyDescent="0.25">
      <c r="C296" s="71"/>
      <c r="K296" s="71"/>
      <c r="L296" s="71"/>
      <c r="M296" s="67"/>
    </row>
    <row r="297" spans="3:13" x14ac:dyDescent="0.25">
      <c r="C297" s="71"/>
      <c r="K297" s="71"/>
      <c r="L297" s="71"/>
      <c r="M297" s="67"/>
    </row>
    <row r="298" spans="3:13" x14ac:dyDescent="0.25">
      <c r="C298" s="71"/>
      <c r="K298" s="71"/>
      <c r="L298" s="71"/>
      <c r="M298" s="67"/>
    </row>
    <row r="299" spans="3:13" x14ac:dyDescent="0.25">
      <c r="C299" s="71"/>
      <c r="K299" s="71"/>
      <c r="L299" s="71"/>
      <c r="M299" s="67"/>
    </row>
    <row r="300" spans="3:13" x14ac:dyDescent="0.25">
      <c r="C300" s="71"/>
      <c r="K300" s="71"/>
      <c r="L300" s="71"/>
      <c r="M300" s="67"/>
    </row>
    <row r="301" spans="3:13" x14ac:dyDescent="0.25">
      <c r="C301" s="71"/>
      <c r="K301" s="71"/>
      <c r="L301" s="71"/>
      <c r="M301" s="67"/>
    </row>
    <row r="302" spans="3:13" x14ac:dyDescent="0.25">
      <c r="C302" s="71"/>
      <c r="K302" s="71"/>
      <c r="L302" s="71"/>
      <c r="M302" s="67"/>
    </row>
    <row r="303" spans="3:13" x14ac:dyDescent="0.25">
      <c r="C303" s="71"/>
      <c r="K303" s="71"/>
      <c r="L303" s="71"/>
      <c r="M303" s="67"/>
    </row>
    <row r="304" spans="3:13" x14ac:dyDescent="0.25">
      <c r="C304" s="71"/>
      <c r="K304" s="71"/>
      <c r="L304" s="71"/>
      <c r="M304" s="67"/>
    </row>
    <row r="305" spans="3:13" x14ac:dyDescent="0.25">
      <c r="C305" s="71"/>
      <c r="K305" s="71"/>
      <c r="L305" s="71"/>
      <c r="M305" s="67"/>
    </row>
    <row r="306" spans="3:13" x14ac:dyDescent="0.25">
      <c r="C306" s="71"/>
      <c r="K306" s="71"/>
      <c r="L306" s="71"/>
      <c r="M306" s="67"/>
    </row>
    <row r="307" spans="3:13" x14ac:dyDescent="0.25">
      <c r="C307" s="71"/>
      <c r="K307" s="71"/>
      <c r="L307" s="71"/>
      <c r="M307" s="67"/>
    </row>
    <row r="308" spans="3:13" x14ac:dyDescent="0.25">
      <c r="C308" s="71"/>
      <c r="K308" s="71"/>
      <c r="L308" s="71"/>
      <c r="M308" s="67"/>
    </row>
    <row r="309" spans="3:13" x14ac:dyDescent="0.25">
      <c r="C309" s="71"/>
      <c r="K309" s="71"/>
      <c r="L309" s="71"/>
      <c r="M309" s="67"/>
    </row>
    <row r="310" spans="3:13" x14ac:dyDescent="0.25">
      <c r="C310" s="71"/>
      <c r="K310" s="71"/>
      <c r="L310" s="71"/>
      <c r="M310" s="67"/>
    </row>
    <row r="311" spans="3:13" x14ac:dyDescent="0.25">
      <c r="C311" s="71"/>
      <c r="K311" s="71"/>
      <c r="L311" s="71"/>
      <c r="M311" s="67"/>
    </row>
    <row r="312" spans="3:13" x14ac:dyDescent="0.25">
      <c r="C312" s="71"/>
      <c r="K312" s="71"/>
      <c r="L312" s="71"/>
      <c r="M312" s="67"/>
    </row>
    <row r="313" spans="3:13" x14ac:dyDescent="0.25">
      <c r="C313" s="71"/>
      <c r="K313" s="71"/>
      <c r="L313" s="71"/>
      <c r="M313" s="67"/>
    </row>
    <row r="314" spans="3:13" x14ac:dyDescent="0.25">
      <c r="C314" s="71"/>
      <c r="K314" s="71"/>
      <c r="L314" s="71"/>
      <c r="M314" s="67"/>
    </row>
    <row r="315" spans="3:13" x14ac:dyDescent="0.25">
      <c r="C315" s="71"/>
      <c r="K315" s="71"/>
      <c r="L315" s="71"/>
      <c r="M315" s="67"/>
    </row>
    <row r="316" spans="3:13" x14ac:dyDescent="0.25">
      <c r="C316" s="71"/>
      <c r="K316" s="71"/>
      <c r="L316" s="71"/>
      <c r="M316" s="67"/>
    </row>
    <row r="317" spans="3:13" x14ac:dyDescent="0.25">
      <c r="C317" s="71"/>
      <c r="K317" s="71"/>
      <c r="L317" s="71"/>
      <c r="M317" s="67"/>
    </row>
    <row r="318" spans="3:13" x14ac:dyDescent="0.25">
      <c r="C318" s="71"/>
      <c r="K318" s="71"/>
      <c r="L318" s="71"/>
      <c r="M318" s="67"/>
    </row>
    <row r="319" spans="3:13" x14ac:dyDescent="0.25">
      <c r="C319" s="71"/>
      <c r="K319" s="71"/>
      <c r="L319" s="71"/>
      <c r="M319" s="67"/>
    </row>
    <row r="320" spans="3:13" x14ac:dyDescent="0.25">
      <c r="C320" s="71"/>
      <c r="K320" s="71"/>
      <c r="L320" s="71"/>
      <c r="M320" s="67"/>
    </row>
    <row r="321" spans="3:13" x14ac:dyDescent="0.25">
      <c r="C321" s="71"/>
      <c r="K321" s="71"/>
      <c r="L321" s="71"/>
      <c r="M321" s="67"/>
    </row>
    <row r="322" spans="3:13" x14ac:dyDescent="0.25">
      <c r="C322" s="71"/>
      <c r="K322" s="71"/>
      <c r="L322" s="71"/>
      <c r="M322" s="67"/>
    </row>
    <row r="323" spans="3:13" x14ac:dyDescent="0.25">
      <c r="C323" s="71"/>
      <c r="K323" s="71"/>
      <c r="L323" s="71"/>
      <c r="M323" s="67"/>
    </row>
    <row r="324" spans="3:13" x14ac:dyDescent="0.25">
      <c r="C324" s="71"/>
      <c r="K324" s="71"/>
      <c r="L324" s="71"/>
      <c r="M324" s="67"/>
    </row>
    <row r="325" spans="3:13" x14ac:dyDescent="0.25">
      <c r="C325" s="71"/>
      <c r="K325" s="71"/>
      <c r="L325" s="71"/>
      <c r="M325" s="67"/>
    </row>
    <row r="326" spans="3:13" x14ac:dyDescent="0.25">
      <c r="C326" s="71"/>
      <c r="K326" s="71"/>
      <c r="L326" s="71"/>
      <c r="M326" s="67"/>
    </row>
    <row r="327" spans="3:13" x14ac:dyDescent="0.25">
      <c r="C327" s="71"/>
      <c r="K327" s="71"/>
      <c r="L327" s="71"/>
      <c r="M327" s="67"/>
    </row>
    <row r="328" spans="3:13" x14ac:dyDescent="0.25">
      <c r="C328" s="71"/>
      <c r="K328" s="71"/>
      <c r="L328" s="71"/>
      <c r="M328" s="67"/>
    </row>
    <row r="329" spans="3:13" x14ac:dyDescent="0.25">
      <c r="C329" s="71"/>
      <c r="K329" s="71"/>
      <c r="L329" s="71"/>
      <c r="M329" s="67"/>
    </row>
    <row r="330" spans="3:13" x14ac:dyDescent="0.25">
      <c r="C330" s="71"/>
      <c r="K330" s="71"/>
      <c r="L330" s="71"/>
      <c r="M330" s="67"/>
    </row>
    <row r="331" spans="3:13" x14ac:dyDescent="0.25">
      <c r="C331" s="71"/>
      <c r="K331" s="71"/>
      <c r="L331" s="71"/>
      <c r="M331" s="67"/>
    </row>
    <row r="332" spans="3:13" x14ac:dyDescent="0.25">
      <c r="C332" s="71"/>
      <c r="K332" s="71"/>
      <c r="L332" s="71"/>
      <c r="M332" s="67"/>
    </row>
    <row r="333" spans="3:13" x14ac:dyDescent="0.25">
      <c r="C333" s="71"/>
      <c r="K333" s="71"/>
      <c r="L333" s="71"/>
      <c r="M333" s="67"/>
    </row>
    <row r="334" spans="3:13" x14ac:dyDescent="0.25">
      <c r="C334" s="71"/>
      <c r="K334" s="71"/>
      <c r="L334" s="71"/>
      <c r="M334" s="67"/>
    </row>
    <row r="335" spans="3:13" x14ac:dyDescent="0.25">
      <c r="C335" s="71"/>
      <c r="K335" s="71"/>
      <c r="L335" s="71"/>
      <c r="M335" s="67"/>
    </row>
    <row r="336" spans="3:13" x14ac:dyDescent="0.25">
      <c r="C336" s="71"/>
      <c r="K336" s="71"/>
      <c r="L336" s="71"/>
      <c r="M336" s="67"/>
    </row>
    <row r="337" spans="3:13" x14ac:dyDescent="0.25">
      <c r="C337" s="71"/>
      <c r="K337" s="71"/>
      <c r="L337" s="71"/>
      <c r="M337" s="67"/>
    </row>
    <row r="338" spans="3:13" x14ac:dyDescent="0.25">
      <c r="C338" s="71"/>
      <c r="K338" s="71"/>
      <c r="L338" s="71"/>
      <c r="M338" s="67"/>
    </row>
    <row r="339" spans="3:13" x14ac:dyDescent="0.25">
      <c r="C339" s="71"/>
      <c r="K339" s="71"/>
      <c r="L339" s="71"/>
      <c r="M339" s="67"/>
    </row>
    <row r="340" spans="3:13" x14ac:dyDescent="0.25">
      <c r="C340" s="71"/>
      <c r="K340" s="71"/>
      <c r="L340" s="71"/>
      <c r="M340" s="67"/>
    </row>
    <row r="341" spans="3:13" x14ac:dyDescent="0.25">
      <c r="C341" s="71"/>
      <c r="K341" s="71"/>
      <c r="L341" s="71"/>
      <c r="M341" s="67"/>
    </row>
    <row r="342" spans="3:13" x14ac:dyDescent="0.25">
      <c r="C342" s="71"/>
      <c r="K342" s="71"/>
      <c r="L342" s="71"/>
      <c r="M342" s="67"/>
    </row>
    <row r="343" spans="3:13" x14ac:dyDescent="0.25">
      <c r="C343" s="71"/>
      <c r="K343" s="71"/>
      <c r="L343" s="71"/>
      <c r="M343" s="67"/>
    </row>
    <row r="344" spans="3:13" x14ac:dyDescent="0.25">
      <c r="C344" s="71"/>
      <c r="K344" s="71"/>
      <c r="L344" s="71"/>
      <c r="M344" s="67"/>
    </row>
    <row r="345" spans="3:13" x14ac:dyDescent="0.25">
      <c r="C345" s="71"/>
      <c r="K345" s="71"/>
      <c r="L345" s="71"/>
      <c r="M345" s="67"/>
    </row>
    <row r="346" spans="3:13" x14ac:dyDescent="0.25">
      <c r="C346" s="71"/>
      <c r="K346" s="71"/>
      <c r="L346" s="71"/>
      <c r="M346" s="67"/>
    </row>
    <row r="347" spans="3:13" x14ac:dyDescent="0.25">
      <c r="C347" s="71"/>
      <c r="K347" s="71"/>
      <c r="L347" s="71"/>
      <c r="M347" s="67"/>
    </row>
    <row r="348" spans="3:13" x14ac:dyDescent="0.25">
      <c r="C348" s="71"/>
      <c r="K348" s="71"/>
      <c r="L348" s="71"/>
      <c r="M348" s="67"/>
    </row>
    <row r="349" spans="3:13" x14ac:dyDescent="0.25">
      <c r="C349" s="71"/>
      <c r="K349" s="71"/>
      <c r="L349" s="71"/>
      <c r="M349" s="67"/>
    </row>
    <row r="350" spans="3:13" x14ac:dyDescent="0.25">
      <c r="C350" s="71"/>
      <c r="K350" s="71"/>
      <c r="L350" s="71"/>
      <c r="M350" s="67"/>
    </row>
    <row r="351" spans="3:13" x14ac:dyDescent="0.25">
      <c r="C351" s="71"/>
      <c r="K351" s="71"/>
      <c r="L351" s="71"/>
      <c r="M351" s="67"/>
    </row>
    <row r="352" spans="3:13" x14ac:dyDescent="0.25">
      <c r="C352" s="71"/>
      <c r="K352" s="71"/>
      <c r="L352" s="71"/>
      <c r="M352" s="67"/>
    </row>
    <row r="353" spans="3:13" x14ac:dyDescent="0.25">
      <c r="C353" s="71"/>
      <c r="K353" s="71"/>
      <c r="L353" s="71"/>
      <c r="M353" s="67"/>
    </row>
    <row r="354" spans="3:13" x14ac:dyDescent="0.25">
      <c r="C354" s="71"/>
      <c r="K354" s="71"/>
      <c r="L354" s="71"/>
      <c r="M354" s="67"/>
    </row>
    <row r="355" spans="3:13" x14ac:dyDescent="0.25">
      <c r="C355" s="71"/>
      <c r="K355" s="71"/>
      <c r="L355" s="71"/>
      <c r="M355" s="67"/>
    </row>
    <row r="356" spans="3:13" x14ac:dyDescent="0.25">
      <c r="C356" s="71"/>
      <c r="K356" s="71"/>
      <c r="L356" s="71"/>
      <c r="M356" s="67"/>
    </row>
    <row r="357" spans="3:13" x14ac:dyDescent="0.25">
      <c r="C357" s="71"/>
      <c r="K357" s="71"/>
      <c r="L357" s="71"/>
      <c r="M357" s="67"/>
    </row>
    <row r="358" spans="3:13" x14ac:dyDescent="0.25">
      <c r="C358" s="71"/>
      <c r="K358" s="71"/>
      <c r="L358" s="71"/>
      <c r="M358" s="67"/>
    </row>
    <row r="359" spans="3:13" x14ac:dyDescent="0.25">
      <c r="C359" s="71"/>
      <c r="K359" s="71"/>
      <c r="L359" s="71"/>
      <c r="M359" s="67"/>
    </row>
    <row r="360" spans="3:13" x14ac:dyDescent="0.25">
      <c r="C360" s="71"/>
      <c r="K360" s="71"/>
      <c r="L360" s="71"/>
      <c r="M360" s="67"/>
    </row>
    <row r="361" spans="3:13" x14ac:dyDescent="0.25">
      <c r="C361" s="71"/>
      <c r="K361" s="71"/>
      <c r="L361" s="71"/>
      <c r="M361" s="67"/>
    </row>
    <row r="362" spans="3:13" x14ac:dyDescent="0.25">
      <c r="C362" s="71"/>
      <c r="K362" s="71"/>
      <c r="L362" s="71"/>
      <c r="M362" s="67"/>
    </row>
    <row r="363" spans="3:13" x14ac:dyDescent="0.25">
      <c r="C363" s="71"/>
      <c r="K363" s="71"/>
      <c r="L363" s="71"/>
      <c r="M363" s="67"/>
    </row>
    <row r="364" spans="3:13" x14ac:dyDescent="0.25">
      <c r="C364" s="71"/>
      <c r="K364" s="71"/>
      <c r="L364" s="71"/>
      <c r="M364" s="67"/>
    </row>
    <row r="365" spans="3:13" x14ac:dyDescent="0.25">
      <c r="C365" s="71"/>
      <c r="K365" s="71"/>
      <c r="L365" s="71"/>
      <c r="M365" s="67"/>
    </row>
    <row r="366" spans="3:13" x14ac:dyDescent="0.25">
      <c r="C366" s="71"/>
      <c r="K366" s="71"/>
      <c r="L366" s="71"/>
      <c r="M366" s="67"/>
    </row>
    <row r="367" spans="3:13" x14ac:dyDescent="0.25">
      <c r="C367" s="71"/>
      <c r="K367" s="71"/>
      <c r="L367" s="71"/>
      <c r="M367" s="67"/>
    </row>
    <row r="368" spans="3:13" x14ac:dyDescent="0.25">
      <c r="C368" s="71"/>
      <c r="K368" s="71"/>
      <c r="L368" s="71"/>
      <c r="M368" s="67"/>
    </row>
    <row r="369" spans="3:13" x14ac:dyDescent="0.25">
      <c r="C369" s="71"/>
      <c r="K369" s="71"/>
      <c r="L369" s="71"/>
      <c r="M369" s="67"/>
    </row>
    <row r="370" spans="3:13" x14ac:dyDescent="0.25">
      <c r="C370" s="71"/>
      <c r="K370" s="71"/>
      <c r="L370" s="71"/>
      <c r="M370" s="67"/>
    </row>
    <row r="371" spans="3:13" x14ac:dyDescent="0.25">
      <c r="C371" s="71"/>
      <c r="K371" s="71"/>
      <c r="L371" s="71"/>
      <c r="M371" s="67"/>
    </row>
    <row r="372" spans="3:13" x14ac:dyDescent="0.25">
      <c r="C372" s="71"/>
      <c r="K372" s="71"/>
      <c r="L372" s="71"/>
      <c r="M372" s="67"/>
    </row>
    <row r="373" spans="3:13" x14ac:dyDescent="0.25">
      <c r="C373" s="71"/>
      <c r="K373" s="71"/>
      <c r="L373" s="71"/>
      <c r="M373" s="67"/>
    </row>
    <row r="374" spans="3:13" x14ac:dyDescent="0.25">
      <c r="C374" s="71"/>
      <c r="K374" s="71"/>
      <c r="L374" s="71"/>
      <c r="M374" s="67"/>
    </row>
    <row r="375" spans="3:13" x14ac:dyDescent="0.25">
      <c r="C375" s="71"/>
      <c r="K375" s="71"/>
      <c r="L375" s="71"/>
      <c r="M375" s="67"/>
    </row>
    <row r="376" spans="3:13" x14ac:dyDescent="0.25">
      <c r="C376" s="71"/>
      <c r="K376" s="71"/>
      <c r="L376" s="71"/>
      <c r="M376" s="67"/>
    </row>
    <row r="377" spans="3:13" x14ac:dyDescent="0.25">
      <c r="C377" s="71"/>
      <c r="K377" s="71"/>
      <c r="L377" s="71"/>
      <c r="M377" s="67"/>
    </row>
    <row r="378" spans="3:13" x14ac:dyDescent="0.25">
      <c r="C378" s="71"/>
      <c r="K378" s="71"/>
      <c r="L378" s="71"/>
      <c r="M378" s="67"/>
    </row>
    <row r="379" spans="3:13" x14ac:dyDescent="0.25">
      <c r="C379" s="71"/>
      <c r="K379" s="71"/>
      <c r="L379" s="71"/>
      <c r="M379" s="67"/>
    </row>
    <row r="380" spans="3:13" x14ac:dyDescent="0.25">
      <c r="C380" s="71"/>
      <c r="K380" s="71"/>
      <c r="L380" s="71"/>
      <c r="M380" s="67"/>
    </row>
    <row r="381" spans="3:13" x14ac:dyDescent="0.25">
      <c r="C381" s="71"/>
      <c r="K381" s="71"/>
      <c r="L381" s="71"/>
      <c r="M381" s="67"/>
    </row>
    <row r="382" spans="3:13" x14ac:dyDescent="0.25">
      <c r="C382" s="71"/>
      <c r="K382" s="71"/>
      <c r="L382" s="71"/>
      <c r="M382" s="67"/>
    </row>
    <row r="383" spans="3:13" x14ac:dyDescent="0.25">
      <c r="C383" s="71"/>
      <c r="K383" s="71"/>
      <c r="L383" s="71"/>
      <c r="M383" s="67"/>
    </row>
    <row r="384" spans="3:13" x14ac:dyDescent="0.25">
      <c r="C384" s="71"/>
      <c r="K384" s="71"/>
      <c r="L384" s="71"/>
      <c r="M384" s="67"/>
    </row>
    <row r="385" spans="3:13" x14ac:dyDescent="0.25">
      <c r="C385" s="71"/>
      <c r="K385" s="71"/>
      <c r="L385" s="71"/>
      <c r="M385" s="67"/>
    </row>
    <row r="386" spans="3:13" x14ac:dyDescent="0.25">
      <c r="C386" s="71"/>
      <c r="K386" s="71"/>
      <c r="L386" s="71"/>
      <c r="M386" s="67"/>
    </row>
    <row r="387" spans="3:13" x14ac:dyDescent="0.25">
      <c r="C387" s="71"/>
      <c r="K387" s="71"/>
      <c r="L387" s="71"/>
      <c r="M387" s="67"/>
    </row>
    <row r="388" spans="3:13" x14ac:dyDescent="0.25">
      <c r="C388" s="71"/>
      <c r="K388" s="71"/>
      <c r="L388" s="71"/>
      <c r="M388" s="67"/>
    </row>
    <row r="389" spans="3:13" x14ac:dyDescent="0.25">
      <c r="C389" s="71"/>
      <c r="K389" s="71"/>
      <c r="L389" s="71"/>
      <c r="M389" s="67"/>
    </row>
    <row r="390" spans="3:13" x14ac:dyDescent="0.25">
      <c r="C390" s="71"/>
      <c r="K390" s="71"/>
      <c r="L390" s="71"/>
      <c r="M390" s="67"/>
    </row>
    <row r="391" spans="3:13" x14ac:dyDescent="0.25">
      <c r="C391" s="71"/>
      <c r="K391" s="71"/>
      <c r="L391" s="71"/>
      <c r="M391" s="67"/>
    </row>
    <row r="392" spans="3:13" x14ac:dyDescent="0.25">
      <c r="C392" s="71"/>
      <c r="K392" s="71"/>
      <c r="L392" s="71"/>
      <c r="M392" s="67"/>
    </row>
    <row r="393" spans="3:13" x14ac:dyDescent="0.25">
      <c r="C393" s="71"/>
      <c r="K393" s="71"/>
      <c r="L393" s="71"/>
      <c r="M393" s="67"/>
    </row>
    <row r="394" spans="3:13" x14ac:dyDescent="0.25">
      <c r="C394" s="71"/>
      <c r="K394" s="71"/>
      <c r="L394" s="71"/>
      <c r="M394" s="67"/>
    </row>
    <row r="395" spans="3:13" x14ac:dyDescent="0.25">
      <c r="C395" s="71"/>
      <c r="K395" s="71"/>
      <c r="L395" s="71"/>
      <c r="M395" s="67"/>
    </row>
    <row r="396" spans="3:13" x14ac:dyDescent="0.25">
      <c r="C396" s="71"/>
      <c r="K396" s="71"/>
      <c r="L396" s="71"/>
      <c r="M396" s="67"/>
    </row>
    <row r="397" spans="3:13" x14ac:dyDescent="0.25">
      <c r="C397" s="71"/>
      <c r="K397" s="71"/>
      <c r="L397" s="71"/>
      <c r="M397" s="67"/>
    </row>
    <row r="398" spans="3:13" x14ac:dyDescent="0.25">
      <c r="C398" s="71"/>
      <c r="K398" s="71"/>
      <c r="L398" s="71"/>
      <c r="M398" s="67"/>
    </row>
    <row r="399" spans="3:13" x14ac:dyDescent="0.25">
      <c r="C399" s="71"/>
      <c r="K399" s="71"/>
      <c r="L399" s="71"/>
      <c r="M399" s="67"/>
    </row>
    <row r="400" spans="3:13" x14ac:dyDescent="0.25">
      <c r="C400" s="71"/>
      <c r="K400" s="71"/>
      <c r="L400" s="71"/>
      <c r="M400" s="67"/>
    </row>
    <row r="401" spans="3:13" x14ac:dyDescent="0.25">
      <c r="C401" s="71"/>
      <c r="K401" s="71"/>
      <c r="L401" s="71"/>
      <c r="M401" s="67"/>
    </row>
    <row r="402" spans="3:13" x14ac:dyDescent="0.25">
      <c r="C402" s="71"/>
      <c r="K402" s="71"/>
      <c r="L402" s="71"/>
      <c r="M402" s="67"/>
    </row>
    <row r="403" spans="3:13" x14ac:dyDescent="0.25">
      <c r="C403" s="71"/>
      <c r="K403" s="71"/>
      <c r="L403" s="71"/>
      <c r="M403" s="67"/>
    </row>
    <row r="404" spans="3:13" x14ac:dyDescent="0.25">
      <c r="C404" s="71"/>
      <c r="K404" s="71"/>
      <c r="L404" s="71"/>
      <c r="M404" s="67"/>
    </row>
    <row r="405" spans="3:13" x14ac:dyDescent="0.25">
      <c r="C405" s="71"/>
      <c r="K405" s="71"/>
      <c r="L405" s="71"/>
      <c r="M405" s="67"/>
    </row>
    <row r="406" spans="3:13" x14ac:dyDescent="0.25">
      <c r="C406" s="71"/>
      <c r="K406" s="71"/>
      <c r="L406" s="71"/>
      <c r="M406" s="67"/>
    </row>
    <row r="407" spans="3:13" x14ac:dyDescent="0.25">
      <c r="C407" s="71"/>
      <c r="K407" s="71"/>
      <c r="L407" s="71"/>
      <c r="M407" s="67"/>
    </row>
    <row r="408" spans="3:13" x14ac:dyDescent="0.25">
      <c r="C408" s="71"/>
      <c r="K408" s="71"/>
      <c r="L408" s="71"/>
      <c r="M408" s="67"/>
    </row>
    <row r="409" spans="3:13" x14ac:dyDescent="0.25">
      <c r="C409" s="71"/>
      <c r="K409" s="71"/>
      <c r="L409" s="71"/>
      <c r="M409" s="67"/>
    </row>
    <row r="410" spans="3:13" x14ac:dyDescent="0.25">
      <c r="C410" s="71"/>
      <c r="K410" s="71"/>
      <c r="L410" s="71"/>
      <c r="M410" s="67"/>
    </row>
    <row r="411" spans="3:13" x14ac:dyDescent="0.25">
      <c r="C411" s="71"/>
      <c r="K411" s="71"/>
      <c r="L411" s="71"/>
      <c r="M411" s="67"/>
    </row>
    <row r="412" spans="3:13" x14ac:dyDescent="0.25">
      <c r="C412" s="71"/>
      <c r="K412" s="71"/>
      <c r="L412" s="71"/>
      <c r="M412" s="67"/>
    </row>
    <row r="413" spans="3:13" x14ac:dyDescent="0.25">
      <c r="C413" s="71"/>
      <c r="K413" s="71"/>
      <c r="L413" s="71"/>
      <c r="M413" s="67"/>
    </row>
    <row r="414" spans="3:13" x14ac:dyDescent="0.25">
      <c r="C414" s="71"/>
      <c r="K414" s="71"/>
      <c r="L414" s="71"/>
      <c r="M414" s="67"/>
    </row>
    <row r="415" spans="3:13" x14ac:dyDescent="0.25">
      <c r="C415" s="71"/>
      <c r="K415" s="71"/>
      <c r="L415" s="71"/>
      <c r="M415" s="67"/>
    </row>
    <row r="416" spans="3:13" x14ac:dyDescent="0.25">
      <c r="C416" s="71"/>
      <c r="K416" s="71"/>
      <c r="L416" s="71"/>
      <c r="M416" s="67"/>
    </row>
    <row r="417" spans="3:13" x14ac:dyDescent="0.25">
      <c r="C417" s="71"/>
      <c r="K417" s="71"/>
      <c r="L417" s="71"/>
      <c r="M417" s="67"/>
    </row>
    <row r="418" spans="3:13" x14ac:dyDescent="0.25">
      <c r="C418" s="71"/>
      <c r="K418" s="71"/>
      <c r="L418" s="71"/>
      <c r="M418" s="67"/>
    </row>
    <row r="419" spans="3:13" x14ac:dyDescent="0.25">
      <c r="C419" s="71"/>
      <c r="K419" s="71"/>
      <c r="L419" s="71"/>
      <c r="M419" s="67"/>
    </row>
    <row r="420" spans="3:13" x14ac:dyDescent="0.25">
      <c r="C420" s="71"/>
      <c r="K420" s="71"/>
      <c r="L420" s="71"/>
      <c r="M420" s="67"/>
    </row>
    <row r="421" spans="3:13" x14ac:dyDescent="0.25">
      <c r="C421" s="71"/>
      <c r="K421" s="71"/>
      <c r="L421" s="71"/>
      <c r="M421" s="67"/>
    </row>
    <row r="422" spans="3:13" x14ac:dyDescent="0.25">
      <c r="C422" s="71"/>
      <c r="K422" s="71"/>
      <c r="L422" s="71"/>
      <c r="M422" s="67"/>
    </row>
    <row r="423" spans="3:13" x14ac:dyDescent="0.25">
      <c r="C423" s="71"/>
      <c r="K423" s="71"/>
      <c r="L423" s="71"/>
      <c r="M423" s="67"/>
    </row>
    <row r="424" spans="3:13" x14ac:dyDescent="0.25">
      <c r="C424" s="71"/>
      <c r="K424" s="71"/>
      <c r="L424" s="71"/>
      <c r="M424" s="67"/>
    </row>
    <row r="425" spans="3:13" x14ac:dyDescent="0.25">
      <c r="C425" s="71"/>
      <c r="K425" s="71"/>
      <c r="L425" s="71"/>
      <c r="M425" s="67"/>
    </row>
    <row r="426" spans="3:13" x14ac:dyDescent="0.25">
      <c r="C426" s="71"/>
      <c r="K426" s="71"/>
      <c r="L426" s="71"/>
      <c r="M426" s="67"/>
    </row>
    <row r="427" spans="3:13" x14ac:dyDescent="0.25">
      <c r="C427" s="71"/>
      <c r="K427" s="71"/>
      <c r="L427" s="71"/>
      <c r="M427" s="67"/>
    </row>
    <row r="428" spans="3:13" x14ac:dyDescent="0.25">
      <c r="C428" s="71"/>
      <c r="K428" s="71"/>
      <c r="L428" s="71"/>
      <c r="M428" s="67"/>
    </row>
    <row r="429" spans="3:13" x14ac:dyDescent="0.25">
      <c r="C429" s="71"/>
      <c r="K429" s="71"/>
      <c r="L429" s="71"/>
      <c r="M429" s="67"/>
    </row>
    <row r="430" spans="3:13" x14ac:dyDescent="0.25">
      <c r="C430" s="71"/>
      <c r="K430" s="71"/>
      <c r="L430" s="71"/>
      <c r="M430" s="67"/>
    </row>
    <row r="431" spans="3:13" x14ac:dyDescent="0.25">
      <c r="C431" s="71"/>
      <c r="K431" s="71"/>
      <c r="L431" s="71"/>
      <c r="M431" s="67"/>
    </row>
    <row r="432" spans="3:13" x14ac:dyDescent="0.25">
      <c r="C432" s="71"/>
      <c r="K432" s="71"/>
      <c r="L432" s="71"/>
      <c r="M432" s="67"/>
    </row>
    <row r="433" spans="3:13" x14ac:dyDescent="0.25">
      <c r="C433" s="71"/>
      <c r="K433" s="71"/>
      <c r="L433" s="71"/>
      <c r="M433" s="67"/>
    </row>
    <row r="434" spans="3:13" x14ac:dyDescent="0.25">
      <c r="C434" s="71"/>
      <c r="K434" s="71"/>
      <c r="L434" s="71"/>
      <c r="M434" s="67"/>
    </row>
    <row r="435" spans="3:13" x14ac:dyDescent="0.25">
      <c r="C435" s="71"/>
      <c r="K435" s="71"/>
      <c r="L435" s="71"/>
      <c r="M435" s="67"/>
    </row>
    <row r="436" spans="3:13" x14ac:dyDescent="0.25">
      <c r="C436" s="71"/>
      <c r="K436" s="71"/>
      <c r="L436" s="71"/>
      <c r="M436" s="67"/>
    </row>
    <row r="437" spans="3:13" x14ac:dyDescent="0.25">
      <c r="C437" s="71"/>
      <c r="K437" s="71"/>
      <c r="L437" s="71"/>
      <c r="M437" s="67"/>
    </row>
    <row r="438" spans="3:13" x14ac:dyDescent="0.25">
      <c r="C438" s="71"/>
      <c r="K438" s="71"/>
      <c r="L438" s="71"/>
      <c r="M438" s="67"/>
    </row>
    <row r="439" spans="3:13" x14ac:dyDescent="0.25">
      <c r="C439" s="71"/>
      <c r="K439" s="71"/>
      <c r="L439" s="71"/>
      <c r="M439" s="67"/>
    </row>
    <row r="440" spans="3:13" x14ac:dyDescent="0.25">
      <c r="C440" s="71"/>
      <c r="K440" s="71"/>
      <c r="L440" s="71"/>
      <c r="M440" s="67"/>
    </row>
    <row r="441" spans="3:13" x14ac:dyDescent="0.25">
      <c r="C441" s="71"/>
      <c r="K441" s="71"/>
      <c r="L441" s="71"/>
      <c r="M441" s="67"/>
    </row>
    <row r="442" spans="3:13" x14ac:dyDescent="0.25">
      <c r="C442" s="71"/>
      <c r="K442" s="71"/>
      <c r="L442" s="71"/>
      <c r="M442" s="67"/>
    </row>
    <row r="443" spans="3:13" x14ac:dyDescent="0.25">
      <c r="C443" s="71"/>
      <c r="K443" s="71"/>
      <c r="L443" s="71"/>
      <c r="M443" s="67"/>
    </row>
    <row r="444" spans="3:13" x14ac:dyDescent="0.25">
      <c r="C444" s="71"/>
      <c r="K444" s="71"/>
      <c r="L444" s="71"/>
      <c r="M444" s="67"/>
    </row>
    <row r="445" spans="3:13" x14ac:dyDescent="0.25">
      <c r="C445" s="71"/>
      <c r="K445" s="71"/>
      <c r="L445" s="71"/>
      <c r="M445" s="67"/>
    </row>
    <row r="446" spans="3:13" x14ac:dyDescent="0.25">
      <c r="C446" s="71"/>
      <c r="K446" s="71"/>
      <c r="L446" s="71"/>
      <c r="M446" s="67"/>
    </row>
    <row r="447" spans="3:13" x14ac:dyDescent="0.25">
      <c r="C447" s="71"/>
      <c r="K447" s="71"/>
      <c r="L447" s="71"/>
      <c r="M447" s="67"/>
    </row>
    <row r="448" spans="3:13" x14ac:dyDescent="0.25">
      <c r="C448" s="71"/>
      <c r="K448" s="71"/>
      <c r="L448" s="71"/>
      <c r="M448" s="67"/>
    </row>
    <row r="449" spans="3:13" x14ac:dyDescent="0.25">
      <c r="C449" s="71"/>
      <c r="K449" s="71"/>
      <c r="L449" s="71"/>
      <c r="M449" s="67"/>
    </row>
    <row r="450" spans="3:13" x14ac:dyDescent="0.25">
      <c r="C450" s="71"/>
      <c r="K450" s="71"/>
      <c r="L450" s="71"/>
      <c r="M450" s="67"/>
    </row>
    <row r="451" spans="3:13" x14ac:dyDescent="0.25">
      <c r="C451" s="71"/>
      <c r="K451" s="71"/>
      <c r="L451" s="71"/>
      <c r="M451" s="67"/>
    </row>
    <row r="452" spans="3:13" x14ac:dyDescent="0.25">
      <c r="C452" s="71"/>
      <c r="K452" s="71"/>
      <c r="L452" s="71"/>
      <c r="M452" s="67"/>
    </row>
    <row r="453" spans="3:13" x14ac:dyDescent="0.25">
      <c r="C453" s="71"/>
      <c r="K453" s="71"/>
      <c r="L453" s="71"/>
      <c r="M453" s="67"/>
    </row>
    <row r="454" spans="3:13" x14ac:dyDescent="0.25">
      <c r="C454" s="71"/>
      <c r="K454" s="71"/>
      <c r="L454" s="71"/>
      <c r="M454" s="67"/>
    </row>
    <row r="455" spans="3:13" x14ac:dyDescent="0.25">
      <c r="C455" s="71"/>
      <c r="K455" s="71"/>
      <c r="L455" s="71"/>
      <c r="M455" s="67"/>
    </row>
    <row r="456" spans="3:13" x14ac:dyDescent="0.25">
      <c r="C456" s="71"/>
      <c r="K456" s="71"/>
      <c r="L456" s="71"/>
      <c r="M456" s="67"/>
    </row>
    <row r="457" spans="3:13" x14ac:dyDescent="0.25">
      <c r="C457" s="71"/>
      <c r="K457" s="71"/>
      <c r="L457" s="71"/>
      <c r="M457" s="67"/>
    </row>
    <row r="458" spans="3:13" x14ac:dyDescent="0.25">
      <c r="C458" s="71"/>
      <c r="K458" s="71"/>
      <c r="L458" s="71"/>
      <c r="M458" s="67"/>
    </row>
    <row r="459" spans="3:13" x14ac:dyDescent="0.25">
      <c r="C459" s="71"/>
      <c r="K459" s="71"/>
      <c r="L459" s="71"/>
      <c r="M459" s="67"/>
    </row>
    <row r="460" spans="3:13" x14ac:dyDescent="0.25">
      <c r="C460" s="71"/>
      <c r="K460" s="71"/>
      <c r="L460" s="71"/>
      <c r="M460" s="67"/>
    </row>
    <row r="461" spans="3:13" x14ac:dyDescent="0.25">
      <c r="C461" s="71"/>
      <c r="K461" s="71"/>
      <c r="L461" s="71"/>
      <c r="M461" s="67"/>
    </row>
    <row r="462" spans="3:13" x14ac:dyDescent="0.25">
      <c r="C462" s="71"/>
      <c r="K462" s="71"/>
      <c r="L462" s="71"/>
      <c r="M462" s="67"/>
    </row>
    <row r="463" spans="3:13" x14ac:dyDescent="0.25">
      <c r="C463" s="71"/>
      <c r="K463" s="71"/>
      <c r="L463" s="71"/>
      <c r="M463" s="67"/>
    </row>
    <row r="464" spans="3:13" x14ac:dyDescent="0.25">
      <c r="C464" s="71"/>
      <c r="K464" s="71"/>
      <c r="L464" s="71"/>
      <c r="M464" s="67"/>
    </row>
    <row r="465" spans="3:13" x14ac:dyDescent="0.25">
      <c r="C465" s="71"/>
      <c r="K465" s="71"/>
      <c r="L465" s="71"/>
      <c r="M465" s="67"/>
    </row>
    <row r="466" spans="3:13" x14ac:dyDescent="0.25">
      <c r="C466" s="71"/>
      <c r="K466" s="71"/>
      <c r="L466" s="71"/>
      <c r="M466" s="67"/>
    </row>
    <row r="467" spans="3:13" x14ac:dyDescent="0.25">
      <c r="C467" s="71"/>
      <c r="K467" s="71"/>
      <c r="L467" s="71"/>
      <c r="M467" s="67"/>
    </row>
    <row r="468" spans="3:13" x14ac:dyDescent="0.25">
      <c r="C468" s="71"/>
      <c r="K468" s="71"/>
      <c r="L468" s="71"/>
      <c r="M468" s="67"/>
    </row>
    <row r="469" spans="3:13" x14ac:dyDescent="0.25">
      <c r="C469" s="71"/>
      <c r="K469" s="71"/>
      <c r="L469" s="71"/>
      <c r="M469" s="67"/>
    </row>
    <row r="470" spans="3:13" x14ac:dyDescent="0.25">
      <c r="C470" s="71"/>
      <c r="K470" s="71"/>
      <c r="L470" s="71"/>
      <c r="M470" s="67"/>
    </row>
    <row r="471" spans="3:13" x14ac:dyDescent="0.25">
      <c r="C471" s="71"/>
      <c r="K471" s="71"/>
      <c r="L471" s="71"/>
      <c r="M471" s="67"/>
    </row>
    <row r="472" spans="3:13" x14ac:dyDescent="0.25">
      <c r="C472" s="71"/>
      <c r="K472" s="71"/>
      <c r="L472" s="71"/>
      <c r="M472" s="67"/>
    </row>
    <row r="473" spans="3:13" x14ac:dyDescent="0.25">
      <c r="C473" s="71"/>
      <c r="K473" s="71"/>
      <c r="L473" s="71"/>
      <c r="M473" s="67"/>
    </row>
    <row r="474" spans="3:13" x14ac:dyDescent="0.25">
      <c r="C474" s="71"/>
      <c r="K474" s="71"/>
      <c r="L474" s="71"/>
      <c r="M474" s="67"/>
    </row>
    <row r="475" spans="3:13" x14ac:dyDescent="0.25">
      <c r="C475" s="71"/>
      <c r="K475" s="71"/>
      <c r="L475" s="71"/>
      <c r="M475" s="67"/>
    </row>
    <row r="476" spans="3:13" x14ac:dyDescent="0.25">
      <c r="C476" s="71"/>
      <c r="K476" s="71"/>
      <c r="L476" s="71"/>
      <c r="M476" s="67"/>
    </row>
    <row r="477" spans="3:13" x14ac:dyDescent="0.25">
      <c r="C477" s="71"/>
      <c r="K477" s="71"/>
      <c r="L477" s="71"/>
      <c r="M477" s="67"/>
    </row>
    <row r="478" spans="3:13" x14ac:dyDescent="0.25">
      <c r="C478" s="71"/>
      <c r="K478" s="71"/>
      <c r="L478" s="71"/>
      <c r="M478" s="67"/>
    </row>
    <row r="479" spans="3:13" x14ac:dyDescent="0.25">
      <c r="C479" s="71"/>
      <c r="K479" s="71"/>
      <c r="L479" s="71"/>
      <c r="M479" s="67"/>
    </row>
    <row r="480" spans="3:13" x14ac:dyDescent="0.25">
      <c r="C480" s="71"/>
      <c r="K480" s="71"/>
      <c r="L480" s="71"/>
      <c r="M480" s="67"/>
    </row>
    <row r="481" spans="3:13" x14ac:dyDescent="0.25">
      <c r="C481" s="71"/>
      <c r="K481" s="71"/>
      <c r="L481" s="71"/>
      <c r="M481" s="67"/>
    </row>
    <row r="482" spans="3:13" x14ac:dyDescent="0.25">
      <c r="C482" s="71"/>
      <c r="K482" s="71"/>
      <c r="L482" s="71"/>
      <c r="M482" s="67"/>
    </row>
    <row r="483" spans="3:13" x14ac:dyDescent="0.25">
      <c r="C483" s="71"/>
      <c r="K483" s="71"/>
      <c r="L483" s="71"/>
      <c r="M483" s="67"/>
    </row>
    <row r="484" spans="3:13" x14ac:dyDescent="0.25">
      <c r="C484" s="71"/>
      <c r="K484" s="71"/>
      <c r="L484" s="71"/>
      <c r="M484" s="67"/>
    </row>
    <row r="485" spans="3:13" x14ac:dyDescent="0.25">
      <c r="C485" s="71"/>
      <c r="K485" s="71"/>
      <c r="L485" s="71"/>
      <c r="M485" s="67"/>
    </row>
    <row r="486" spans="3:13" x14ac:dyDescent="0.25">
      <c r="C486" s="71"/>
      <c r="K486" s="71"/>
      <c r="L486" s="71"/>
      <c r="M486" s="67"/>
    </row>
    <row r="487" spans="3:13" x14ac:dyDescent="0.25">
      <c r="C487" s="71"/>
      <c r="K487" s="71"/>
      <c r="L487" s="71"/>
      <c r="M487" s="67"/>
    </row>
    <row r="488" spans="3:13" x14ac:dyDescent="0.25">
      <c r="C488" s="71"/>
      <c r="K488" s="71"/>
      <c r="L488" s="71"/>
      <c r="M488" s="67"/>
    </row>
    <row r="489" spans="3:13" x14ac:dyDescent="0.25">
      <c r="C489" s="71"/>
      <c r="K489" s="71"/>
      <c r="L489" s="71"/>
      <c r="M489" s="67"/>
    </row>
    <row r="490" spans="3:13" x14ac:dyDescent="0.25">
      <c r="C490" s="71"/>
      <c r="K490" s="71"/>
      <c r="L490" s="71"/>
      <c r="M490" s="67"/>
    </row>
    <row r="491" spans="3:13" x14ac:dyDescent="0.25">
      <c r="C491" s="71"/>
      <c r="K491" s="71"/>
      <c r="L491" s="71"/>
      <c r="M491" s="67"/>
    </row>
    <row r="492" spans="3:13" x14ac:dyDescent="0.25">
      <c r="C492" s="71"/>
      <c r="K492" s="71"/>
      <c r="L492" s="71"/>
      <c r="M492" s="67"/>
    </row>
    <row r="493" spans="3:13" x14ac:dyDescent="0.25">
      <c r="C493" s="71"/>
      <c r="K493" s="71"/>
      <c r="L493" s="71"/>
      <c r="M493" s="67"/>
    </row>
    <row r="494" spans="3:13" x14ac:dyDescent="0.25">
      <c r="C494" s="71"/>
      <c r="K494" s="71"/>
      <c r="L494" s="71"/>
      <c r="M494" s="67"/>
    </row>
    <row r="495" spans="3:13" x14ac:dyDescent="0.25">
      <c r="C495" s="71"/>
      <c r="K495" s="71"/>
      <c r="L495" s="71"/>
      <c r="M495" s="67"/>
    </row>
    <row r="496" spans="3:13" x14ac:dyDescent="0.25">
      <c r="C496" s="71"/>
      <c r="K496" s="71"/>
      <c r="L496" s="71"/>
      <c r="M496" s="67"/>
    </row>
    <row r="497" spans="3:13" x14ac:dyDescent="0.25">
      <c r="C497" s="71"/>
      <c r="K497" s="71"/>
      <c r="L497" s="71"/>
      <c r="M497" s="67"/>
    </row>
    <row r="498" spans="3:13" x14ac:dyDescent="0.25">
      <c r="C498" s="71"/>
      <c r="K498" s="71"/>
      <c r="L498" s="71"/>
      <c r="M498" s="67"/>
    </row>
    <row r="499" spans="3:13" x14ac:dyDescent="0.25">
      <c r="C499" s="71"/>
      <c r="K499" s="71"/>
      <c r="L499" s="71"/>
      <c r="M499" s="67"/>
    </row>
    <row r="500" spans="3:13" x14ac:dyDescent="0.25">
      <c r="C500" s="71"/>
      <c r="K500" s="71"/>
      <c r="L500" s="71"/>
      <c r="M500" s="67"/>
    </row>
    <row r="501" spans="3:13" x14ac:dyDescent="0.25">
      <c r="C501" s="71"/>
      <c r="K501" s="71"/>
      <c r="L501" s="71"/>
      <c r="M501" s="67"/>
    </row>
    <row r="502" spans="3:13" x14ac:dyDescent="0.25">
      <c r="C502" s="71"/>
      <c r="K502" s="71"/>
      <c r="L502" s="71"/>
      <c r="M502" s="67"/>
    </row>
    <row r="503" spans="3:13" x14ac:dyDescent="0.25">
      <c r="C503" s="71"/>
      <c r="K503" s="71"/>
      <c r="L503" s="71"/>
      <c r="M503" s="67"/>
    </row>
    <row r="504" spans="3:13" x14ac:dyDescent="0.25">
      <c r="C504" s="71"/>
      <c r="K504" s="71"/>
      <c r="L504" s="71"/>
      <c r="M504" s="67"/>
    </row>
    <row r="505" spans="3:13" x14ac:dyDescent="0.25">
      <c r="C505" s="71"/>
      <c r="K505" s="71"/>
      <c r="L505" s="71"/>
      <c r="M505" s="67"/>
    </row>
    <row r="506" spans="3:13" x14ac:dyDescent="0.25">
      <c r="C506" s="71"/>
      <c r="K506" s="71"/>
      <c r="L506" s="71"/>
      <c r="M506" s="67"/>
    </row>
    <row r="507" spans="3:13" x14ac:dyDescent="0.25">
      <c r="C507" s="71"/>
      <c r="K507" s="71"/>
      <c r="L507" s="71"/>
      <c r="M507" s="67"/>
    </row>
    <row r="508" spans="3:13" x14ac:dyDescent="0.25">
      <c r="C508" s="71"/>
      <c r="K508" s="71"/>
      <c r="L508" s="71"/>
      <c r="M508" s="67"/>
    </row>
    <row r="509" spans="3:13" x14ac:dyDescent="0.25">
      <c r="C509" s="71"/>
      <c r="K509" s="71"/>
      <c r="L509" s="71"/>
      <c r="M509" s="67"/>
    </row>
    <row r="510" spans="3:13" x14ac:dyDescent="0.25">
      <c r="C510" s="71"/>
      <c r="K510" s="71"/>
      <c r="L510" s="71"/>
      <c r="M510" s="67"/>
    </row>
    <row r="511" spans="3:13" x14ac:dyDescent="0.25">
      <c r="C511" s="71"/>
      <c r="K511" s="71"/>
      <c r="L511" s="71"/>
      <c r="M511" s="67"/>
    </row>
    <row r="512" spans="3:13" x14ac:dyDescent="0.25">
      <c r="C512" s="71"/>
      <c r="K512" s="71"/>
      <c r="L512" s="71"/>
      <c r="M512" s="67"/>
    </row>
    <row r="513" spans="3:13" x14ac:dyDescent="0.25">
      <c r="C513" s="71"/>
      <c r="K513" s="71"/>
      <c r="L513" s="71"/>
      <c r="M513" s="67"/>
    </row>
    <row r="514" spans="3:13" x14ac:dyDescent="0.25">
      <c r="C514" s="71"/>
      <c r="K514" s="71"/>
      <c r="L514" s="71"/>
      <c r="M514" s="67"/>
    </row>
    <row r="515" spans="3:13" x14ac:dyDescent="0.25">
      <c r="C515" s="71"/>
      <c r="K515" s="71"/>
      <c r="L515" s="71"/>
      <c r="M515" s="67"/>
    </row>
    <row r="516" spans="3:13" x14ac:dyDescent="0.25">
      <c r="C516" s="71"/>
      <c r="K516" s="71"/>
      <c r="L516" s="71"/>
      <c r="M516" s="67"/>
    </row>
    <row r="517" spans="3:13" x14ac:dyDescent="0.25">
      <c r="C517" s="71"/>
      <c r="K517" s="71"/>
      <c r="L517" s="71"/>
      <c r="M517" s="67"/>
    </row>
    <row r="518" spans="3:13" x14ac:dyDescent="0.25">
      <c r="C518" s="71"/>
      <c r="K518" s="71"/>
      <c r="L518" s="71"/>
      <c r="M518" s="67"/>
    </row>
    <row r="519" spans="3:13" x14ac:dyDescent="0.25">
      <c r="C519" s="71"/>
      <c r="K519" s="71"/>
      <c r="L519" s="71"/>
      <c r="M519" s="67"/>
    </row>
    <row r="520" spans="3:13" x14ac:dyDescent="0.25">
      <c r="C520" s="71"/>
      <c r="K520" s="71"/>
      <c r="L520" s="71"/>
      <c r="M520" s="67"/>
    </row>
    <row r="521" spans="3:13" x14ac:dyDescent="0.25">
      <c r="C521" s="71"/>
      <c r="K521" s="71"/>
      <c r="L521" s="71"/>
      <c r="M521" s="67"/>
    </row>
    <row r="522" spans="3:13" x14ac:dyDescent="0.25">
      <c r="C522" s="71"/>
      <c r="K522" s="71"/>
      <c r="L522" s="71"/>
      <c r="M522" s="67"/>
    </row>
    <row r="523" spans="3:13" x14ac:dyDescent="0.25">
      <c r="C523" s="71"/>
      <c r="K523" s="71"/>
      <c r="L523" s="71"/>
      <c r="M523" s="67"/>
    </row>
    <row r="524" spans="3:13" x14ac:dyDescent="0.25">
      <c r="C524" s="71"/>
      <c r="K524" s="71"/>
      <c r="L524" s="71"/>
      <c r="M524" s="67"/>
    </row>
    <row r="525" spans="3:13" x14ac:dyDescent="0.25">
      <c r="C525" s="71"/>
      <c r="K525" s="71"/>
      <c r="L525" s="71"/>
      <c r="M525" s="67"/>
    </row>
    <row r="526" spans="3:13" x14ac:dyDescent="0.25">
      <c r="C526" s="71"/>
      <c r="K526" s="71"/>
      <c r="L526" s="71"/>
      <c r="M526" s="67"/>
    </row>
    <row r="527" spans="3:13" x14ac:dyDescent="0.25">
      <c r="C527" s="71"/>
      <c r="K527" s="71"/>
      <c r="L527" s="71"/>
      <c r="M527" s="67"/>
    </row>
    <row r="528" spans="3:13" x14ac:dyDescent="0.25">
      <c r="C528" s="71"/>
      <c r="K528" s="71"/>
      <c r="L528" s="71"/>
      <c r="M528" s="67"/>
    </row>
    <row r="529" spans="3:13" x14ac:dyDescent="0.25">
      <c r="C529" s="71"/>
      <c r="K529" s="71"/>
      <c r="L529" s="71"/>
      <c r="M529" s="67"/>
    </row>
    <row r="530" spans="3:13" x14ac:dyDescent="0.25">
      <c r="C530" s="71"/>
      <c r="K530" s="71"/>
      <c r="L530" s="71"/>
      <c r="M530" s="67"/>
    </row>
    <row r="531" spans="3:13" x14ac:dyDescent="0.25">
      <c r="C531" s="71"/>
      <c r="K531" s="71"/>
      <c r="L531" s="71"/>
      <c r="M531" s="67"/>
    </row>
    <row r="532" spans="3:13" x14ac:dyDescent="0.25">
      <c r="C532" s="71"/>
      <c r="K532" s="71"/>
      <c r="L532" s="71"/>
      <c r="M532" s="67"/>
    </row>
    <row r="533" spans="3:13" x14ac:dyDescent="0.25">
      <c r="C533" s="71"/>
      <c r="K533" s="71"/>
      <c r="L533" s="71"/>
      <c r="M533" s="67"/>
    </row>
    <row r="534" spans="3:13" x14ac:dyDescent="0.25">
      <c r="C534" s="71"/>
      <c r="K534" s="71"/>
      <c r="L534" s="71"/>
      <c r="M534" s="67"/>
    </row>
    <row r="535" spans="3:13" x14ac:dyDescent="0.25">
      <c r="C535" s="71"/>
      <c r="K535" s="71"/>
      <c r="L535" s="71"/>
      <c r="M535" s="67"/>
    </row>
    <row r="536" spans="3:13" x14ac:dyDescent="0.25">
      <c r="C536" s="71"/>
      <c r="K536" s="71"/>
      <c r="L536" s="71"/>
      <c r="M536" s="67"/>
    </row>
    <row r="537" spans="3:13" x14ac:dyDescent="0.25">
      <c r="C537" s="71"/>
      <c r="K537" s="71"/>
      <c r="L537" s="71"/>
      <c r="M537" s="67"/>
    </row>
    <row r="538" spans="3:13" x14ac:dyDescent="0.25">
      <c r="C538" s="71"/>
      <c r="K538" s="71"/>
      <c r="L538" s="71"/>
      <c r="M538" s="67"/>
    </row>
    <row r="539" spans="3:13" x14ac:dyDescent="0.25">
      <c r="C539" s="71"/>
      <c r="K539" s="71"/>
      <c r="L539" s="71"/>
      <c r="M539" s="67"/>
    </row>
    <row r="540" spans="3:13" x14ac:dyDescent="0.25">
      <c r="C540" s="71"/>
      <c r="K540" s="71"/>
      <c r="L540" s="71"/>
      <c r="M540" s="67"/>
    </row>
    <row r="541" spans="3:13" x14ac:dyDescent="0.25">
      <c r="C541" s="71"/>
      <c r="K541" s="71"/>
      <c r="L541" s="71"/>
      <c r="M541" s="67"/>
    </row>
    <row r="542" spans="3:13" x14ac:dyDescent="0.25">
      <c r="C542" s="71"/>
      <c r="K542" s="71"/>
      <c r="L542" s="71"/>
      <c r="M542" s="67"/>
    </row>
    <row r="543" spans="3:13" x14ac:dyDescent="0.25">
      <c r="C543" s="71"/>
      <c r="K543" s="71"/>
      <c r="L543" s="71"/>
      <c r="M543" s="67"/>
    </row>
    <row r="544" spans="3:13" x14ac:dyDescent="0.25">
      <c r="C544" s="71"/>
      <c r="K544" s="71"/>
      <c r="L544" s="71"/>
      <c r="M544" s="67"/>
    </row>
    <row r="545" spans="3:13" x14ac:dyDescent="0.25">
      <c r="C545" s="71"/>
      <c r="K545" s="71"/>
      <c r="L545" s="71"/>
      <c r="M545" s="67"/>
    </row>
    <row r="546" spans="3:13" x14ac:dyDescent="0.25">
      <c r="C546" s="71"/>
      <c r="K546" s="71"/>
      <c r="L546" s="71"/>
      <c r="M546" s="67"/>
    </row>
    <row r="547" spans="3:13" x14ac:dyDescent="0.25">
      <c r="C547" s="71"/>
      <c r="K547" s="71"/>
      <c r="L547" s="71"/>
      <c r="M547" s="67"/>
    </row>
    <row r="548" spans="3:13" x14ac:dyDescent="0.25">
      <c r="C548" s="71"/>
      <c r="K548" s="71"/>
      <c r="L548" s="71"/>
      <c r="M548" s="67"/>
    </row>
    <row r="549" spans="3:13" x14ac:dyDescent="0.25">
      <c r="C549" s="71"/>
      <c r="K549" s="71"/>
      <c r="L549" s="71"/>
      <c r="M549" s="67"/>
    </row>
    <row r="550" spans="3:13" x14ac:dyDescent="0.25">
      <c r="C550" s="71"/>
      <c r="K550" s="71"/>
      <c r="L550" s="71"/>
      <c r="M550" s="67"/>
    </row>
    <row r="551" spans="3:13" x14ac:dyDescent="0.25">
      <c r="C551" s="71"/>
      <c r="K551" s="71"/>
      <c r="L551" s="71"/>
      <c r="M551" s="67"/>
    </row>
    <row r="552" spans="3:13" x14ac:dyDescent="0.25">
      <c r="C552" s="71"/>
      <c r="K552" s="71"/>
      <c r="L552" s="71"/>
      <c r="M552" s="67"/>
    </row>
    <row r="553" spans="3:13" x14ac:dyDescent="0.25">
      <c r="C553" s="71"/>
      <c r="K553" s="71"/>
      <c r="L553" s="71"/>
      <c r="M553" s="67"/>
    </row>
    <row r="554" spans="3:13" x14ac:dyDescent="0.25">
      <c r="C554" s="71"/>
      <c r="K554" s="71"/>
      <c r="L554" s="71"/>
      <c r="M554" s="67"/>
    </row>
    <row r="555" spans="3:13" x14ac:dyDescent="0.25">
      <c r="C555" s="71"/>
      <c r="K555" s="71"/>
      <c r="L555" s="71"/>
      <c r="M555" s="67"/>
    </row>
    <row r="556" spans="3:13" x14ac:dyDescent="0.25">
      <c r="C556" s="71"/>
      <c r="K556" s="71"/>
      <c r="L556" s="71"/>
      <c r="M556" s="67"/>
    </row>
    <row r="557" spans="3:13" x14ac:dyDescent="0.25">
      <c r="C557" s="71"/>
      <c r="K557" s="71"/>
      <c r="L557" s="71"/>
      <c r="M557" s="67"/>
    </row>
    <row r="558" spans="3:13" x14ac:dyDescent="0.25">
      <c r="C558" s="71"/>
      <c r="K558" s="71"/>
      <c r="L558" s="71"/>
      <c r="M558" s="67"/>
    </row>
    <row r="559" spans="3:13" x14ac:dyDescent="0.25">
      <c r="C559" s="71"/>
      <c r="K559" s="71"/>
      <c r="L559" s="71"/>
      <c r="M559" s="67"/>
    </row>
    <row r="560" spans="3:13" x14ac:dyDescent="0.25">
      <c r="C560" s="71"/>
      <c r="K560" s="71"/>
      <c r="L560" s="71"/>
      <c r="M560" s="67"/>
    </row>
    <row r="561" spans="3:13" x14ac:dyDescent="0.25">
      <c r="C561" s="71"/>
      <c r="K561" s="71"/>
      <c r="L561" s="71"/>
      <c r="M561" s="67"/>
    </row>
    <row r="562" spans="3:13" x14ac:dyDescent="0.25">
      <c r="C562" s="71"/>
      <c r="K562" s="71"/>
      <c r="L562" s="71"/>
      <c r="M562" s="67"/>
    </row>
    <row r="563" spans="3:13" x14ac:dyDescent="0.25">
      <c r="C563" s="71"/>
      <c r="K563" s="71"/>
      <c r="L563" s="71"/>
      <c r="M563" s="67"/>
    </row>
    <row r="564" spans="3:13" x14ac:dyDescent="0.25">
      <c r="C564" s="71"/>
      <c r="K564" s="71"/>
      <c r="L564" s="71"/>
      <c r="M564" s="67"/>
    </row>
    <row r="565" spans="3:13" x14ac:dyDescent="0.25">
      <c r="C565" s="71"/>
      <c r="K565" s="71"/>
      <c r="L565" s="71"/>
      <c r="M565" s="67"/>
    </row>
    <row r="566" spans="3:13" x14ac:dyDescent="0.25">
      <c r="C566" s="71"/>
      <c r="K566" s="71"/>
      <c r="L566" s="71"/>
      <c r="M566" s="67"/>
    </row>
    <row r="567" spans="3:13" x14ac:dyDescent="0.25">
      <c r="C567" s="71"/>
      <c r="K567" s="71"/>
      <c r="L567" s="71"/>
      <c r="M567" s="67"/>
    </row>
    <row r="568" spans="3:13" x14ac:dyDescent="0.25">
      <c r="C568" s="71"/>
      <c r="K568" s="71"/>
      <c r="L568" s="71"/>
      <c r="M568" s="67"/>
    </row>
    <row r="569" spans="3:13" x14ac:dyDescent="0.25">
      <c r="C569" s="71"/>
      <c r="K569" s="71"/>
      <c r="L569" s="71"/>
      <c r="M569" s="67"/>
    </row>
    <row r="570" spans="3:13" x14ac:dyDescent="0.25">
      <c r="C570" s="71"/>
      <c r="K570" s="71"/>
      <c r="L570" s="71"/>
      <c r="M570" s="67"/>
    </row>
    <row r="571" spans="3:13" x14ac:dyDescent="0.25">
      <c r="C571" s="71"/>
      <c r="K571" s="71"/>
      <c r="L571" s="71"/>
      <c r="M571" s="67"/>
    </row>
    <row r="572" spans="3:13" x14ac:dyDescent="0.25">
      <c r="C572" s="71"/>
      <c r="K572" s="71"/>
      <c r="L572" s="71"/>
      <c r="M572" s="67"/>
    </row>
    <row r="573" spans="3:13" x14ac:dyDescent="0.25">
      <c r="C573" s="71"/>
      <c r="K573" s="71"/>
      <c r="L573" s="71"/>
      <c r="M573" s="67"/>
    </row>
    <row r="574" spans="3:13" x14ac:dyDescent="0.25">
      <c r="C574" s="71"/>
      <c r="K574" s="71"/>
      <c r="L574" s="71"/>
      <c r="M574" s="67"/>
    </row>
    <row r="575" spans="3:13" x14ac:dyDescent="0.25">
      <c r="C575" s="71"/>
      <c r="K575" s="71"/>
      <c r="L575" s="71"/>
      <c r="M575" s="67"/>
    </row>
    <row r="576" spans="3:13" x14ac:dyDescent="0.25">
      <c r="C576" s="71"/>
      <c r="K576" s="71"/>
      <c r="L576" s="71"/>
      <c r="M576" s="67"/>
    </row>
    <row r="577" spans="3:13" x14ac:dyDescent="0.25">
      <c r="C577" s="71"/>
      <c r="K577" s="71"/>
      <c r="L577" s="71"/>
      <c r="M577" s="67"/>
    </row>
    <row r="578" spans="3:13" x14ac:dyDescent="0.25">
      <c r="C578" s="71"/>
      <c r="K578" s="71"/>
      <c r="L578" s="71"/>
      <c r="M578" s="67"/>
    </row>
    <row r="579" spans="3:13" x14ac:dyDescent="0.25">
      <c r="C579" s="71"/>
      <c r="K579" s="71"/>
      <c r="L579" s="71"/>
      <c r="M579" s="67"/>
    </row>
    <row r="580" spans="3:13" x14ac:dyDescent="0.25">
      <c r="C580" s="71"/>
      <c r="K580" s="71"/>
      <c r="L580" s="71"/>
      <c r="M580" s="67"/>
    </row>
    <row r="581" spans="3:13" x14ac:dyDescent="0.25">
      <c r="C581" s="71"/>
      <c r="K581" s="71"/>
      <c r="L581" s="71"/>
      <c r="M581" s="67"/>
    </row>
    <row r="582" spans="3:13" x14ac:dyDescent="0.25">
      <c r="C582" s="71"/>
      <c r="K582" s="71"/>
      <c r="L582" s="71"/>
      <c r="M582" s="67"/>
    </row>
    <row r="583" spans="3:13" x14ac:dyDescent="0.25">
      <c r="C583" s="71"/>
      <c r="K583" s="71"/>
      <c r="L583" s="71"/>
      <c r="M583" s="67"/>
    </row>
    <row r="584" spans="3:13" x14ac:dyDescent="0.25">
      <c r="C584" s="71"/>
      <c r="K584" s="71"/>
      <c r="L584" s="71"/>
      <c r="M584" s="67"/>
    </row>
    <row r="585" spans="3:13" x14ac:dyDescent="0.25">
      <c r="C585" s="71"/>
      <c r="K585" s="71"/>
      <c r="L585" s="71"/>
      <c r="M585" s="67"/>
    </row>
    <row r="586" spans="3:13" x14ac:dyDescent="0.25">
      <c r="C586" s="71"/>
      <c r="K586" s="71"/>
      <c r="L586" s="71"/>
      <c r="M586" s="67"/>
    </row>
    <row r="587" spans="3:13" x14ac:dyDescent="0.25">
      <c r="C587" s="71"/>
      <c r="K587" s="71"/>
      <c r="L587" s="71"/>
      <c r="M587" s="67"/>
    </row>
    <row r="588" spans="3:13" x14ac:dyDescent="0.25">
      <c r="C588" s="71"/>
      <c r="K588" s="71"/>
      <c r="L588" s="71"/>
      <c r="M588" s="67"/>
    </row>
    <row r="589" spans="3:13" x14ac:dyDescent="0.25">
      <c r="C589" s="71"/>
      <c r="K589" s="71"/>
      <c r="L589" s="71"/>
      <c r="M589" s="67"/>
    </row>
    <row r="590" spans="3:13" x14ac:dyDescent="0.25">
      <c r="C590" s="71"/>
      <c r="K590" s="71"/>
      <c r="L590" s="71"/>
      <c r="M590" s="67"/>
    </row>
    <row r="591" spans="3:13" x14ac:dyDescent="0.25">
      <c r="C591" s="71"/>
      <c r="K591" s="71"/>
      <c r="L591" s="71"/>
      <c r="M591" s="67"/>
    </row>
    <row r="592" spans="3:13" x14ac:dyDescent="0.25">
      <c r="C592" s="71"/>
      <c r="K592" s="71"/>
      <c r="L592" s="71"/>
      <c r="M592" s="67"/>
    </row>
    <row r="593" spans="3:13" x14ac:dyDescent="0.25">
      <c r="C593" s="71"/>
      <c r="K593" s="71"/>
      <c r="L593" s="71"/>
      <c r="M593" s="67"/>
    </row>
    <row r="594" spans="3:13" x14ac:dyDescent="0.25">
      <c r="C594" s="71"/>
      <c r="K594" s="71"/>
      <c r="L594" s="71"/>
      <c r="M594" s="67"/>
    </row>
    <row r="595" spans="3:13" x14ac:dyDescent="0.25">
      <c r="C595" s="71"/>
      <c r="K595" s="71"/>
      <c r="L595" s="71"/>
      <c r="M595" s="67"/>
    </row>
    <row r="596" spans="3:13" x14ac:dyDescent="0.25">
      <c r="C596" s="71"/>
      <c r="K596" s="71"/>
      <c r="L596" s="71"/>
      <c r="M596" s="67"/>
    </row>
    <row r="597" spans="3:13" x14ac:dyDescent="0.25">
      <c r="C597" s="71"/>
      <c r="K597" s="71"/>
      <c r="L597" s="71"/>
      <c r="M597" s="67"/>
    </row>
    <row r="598" spans="3:13" x14ac:dyDescent="0.25">
      <c r="C598" s="71"/>
      <c r="K598" s="71"/>
      <c r="L598" s="71"/>
      <c r="M598" s="67"/>
    </row>
    <row r="599" spans="3:13" x14ac:dyDescent="0.25">
      <c r="C599" s="71"/>
      <c r="K599" s="71"/>
      <c r="L599" s="71"/>
      <c r="M599" s="67"/>
    </row>
    <row r="600" spans="3:13" x14ac:dyDescent="0.25">
      <c r="C600" s="71"/>
      <c r="K600" s="71"/>
      <c r="L600" s="71"/>
      <c r="M600" s="67"/>
    </row>
    <row r="601" spans="3:13" x14ac:dyDescent="0.25">
      <c r="C601" s="71"/>
      <c r="K601" s="71"/>
      <c r="L601" s="71"/>
      <c r="M601" s="67"/>
    </row>
    <row r="602" spans="3:13" x14ac:dyDescent="0.25">
      <c r="C602" s="71"/>
      <c r="K602" s="71"/>
      <c r="L602" s="71"/>
      <c r="M602" s="67"/>
    </row>
    <row r="603" spans="3:13" x14ac:dyDescent="0.25">
      <c r="C603" s="71"/>
      <c r="K603" s="71"/>
      <c r="L603" s="71"/>
      <c r="M603" s="67"/>
    </row>
    <row r="604" spans="3:13" x14ac:dyDescent="0.25">
      <c r="C604" s="71"/>
      <c r="K604" s="71"/>
      <c r="L604" s="71"/>
      <c r="M604" s="67"/>
    </row>
    <row r="605" spans="3:13" x14ac:dyDescent="0.25">
      <c r="C605" s="71"/>
      <c r="K605" s="71"/>
      <c r="L605" s="71"/>
      <c r="M605" s="67"/>
    </row>
    <row r="606" spans="3:13" x14ac:dyDescent="0.25">
      <c r="C606" s="71"/>
      <c r="K606" s="71"/>
      <c r="L606" s="71"/>
      <c r="M606" s="67"/>
    </row>
    <row r="607" spans="3:13" x14ac:dyDescent="0.25">
      <c r="C607" s="71"/>
      <c r="K607" s="71"/>
      <c r="L607" s="71"/>
      <c r="M607" s="67"/>
    </row>
    <row r="608" spans="3:13" x14ac:dyDescent="0.25">
      <c r="C608" s="71"/>
      <c r="K608" s="71"/>
      <c r="L608" s="71"/>
      <c r="M608" s="67"/>
    </row>
    <row r="609" spans="3:13" x14ac:dyDescent="0.25">
      <c r="C609" s="71"/>
      <c r="K609" s="71"/>
      <c r="L609" s="71"/>
      <c r="M609" s="67"/>
    </row>
    <row r="610" spans="3:13" x14ac:dyDescent="0.25">
      <c r="C610" s="71"/>
      <c r="K610" s="71"/>
      <c r="L610" s="71"/>
      <c r="M610" s="67"/>
    </row>
    <row r="611" spans="3:13" x14ac:dyDescent="0.25">
      <c r="C611" s="71"/>
      <c r="K611" s="71"/>
      <c r="L611" s="71"/>
      <c r="M611" s="67"/>
    </row>
    <row r="612" spans="3:13" x14ac:dyDescent="0.25">
      <c r="C612" s="71"/>
      <c r="K612" s="71"/>
      <c r="L612" s="71"/>
      <c r="M612" s="67"/>
    </row>
    <row r="613" spans="3:13" x14ac:dyDescent="0.25">
      <c r="C613" s="71"/>
      <c r="K613" s="71"/>
      <c r="L613" s="71"/>
      <c r="M613" s="67"/>
    </row>
    <row r="614" spans="3:13" x14ac:dyDescent="0.25">
      <c r="C614" s="71"/>
      <c r="K614" s="71"/>
      <c r="L614" s="71"/>
      <c r="M614" s="67"/>
    </row>
    <row r="615" spans="3:13" x14ac:dyDescent="0.25">
      <c r="C615" s="71"/>
      <c r="K615" s="71"/>
      <c r="L615" s="71"/>
      <c r="M615" s="67"/>
    </row>
    <row r="616" spans="3:13" x14ac:dyDescent="0.25">
      <c r="C616" s="71"/>
      <c r="K616" s="71"/>
      <c r="L616" s="71"/>
      <c r="M616" s="67"/>
    </row>
    <row r="617" spans="3:13" x14ac:dyDescent="0.25">
      <c r="C617" s="71"/>
      <c r="K617" s="71"/>
      <c r="L617" s="71"/>
      <c r="M617" s="67"/>
    </row>
    <row r="618" spans="3:13" x14ac:dyDescent="0.25">
      <c r="C618" s="71"/>
      <c r="K618" s="71"/>
      <c r="L618" s="71"/>
      <c r="M618" s="67"/>
    </row>
    <row r="619" spans="3:13" x14ac:dyDescent="0.25">
      <c r="C619" s="71"/>
      <c r="K619" s="71"/>
      <c r="L619" s="71"/>
      <c r="M619" s="67"/>
    </row>
    <row r="620" spans="3:13" x14ac:dyDescent="0.25">
      <c r="C620" s="71"/>
      <c r="K620" s="71"/>
      <c r="L620" s="71"/>
      <c r="M620" s="67"/>
    </row>
    <row r="621" spans="3:13" x14ac:dyDescent="0.25">
      <c r="C621" s="71"/>
      <c r="K621" s="71"/>
      <c r="L621" s="71"/>
      <c r="M621" s="67"/>
    </row>
    <row r="622" spans="3:13" x14ac:dyDescent="0.25">
      <c r="C622" s="71"/>
      <c r="K622" s="71"/>
      <c r="L622" s="71"/>
      <c r="M622" s="67"/>
    </row>
    <row r="623" spans="3:13" x14ac:dyDescent="0.25">
      <c r="C623" s="71"/>
      <c r="K623" s="71"/>
      <c r="L623" s="71"/>
      <c r="M623" s="67"/>
    </row>
    <row r="624" spans="3:13" x14ac:dyDescent="0.25">
      <c r="C624" s="71"/>
      <c r="K624" s="71"/>
      <c r="L624" s="71"/>
      <c r="M624" s="67"/>
    </row>
    <row r="625" spans="3:13" x14ac:dyDescent="0.25">
      <c r="C625" s="71"/>
      <c r="K625" s="71"/>
      <c r="L625" s="71"/>
      <c r="M625" s="67"/>
    </row>
    <row r="626" spans="3:13" x14ac:dyDescent="0.25">
      <c r="C626" s="71"/>
      <c r="K626" s="71"/>
      <c r="L626" s="71"/>
      <c r="M626" s="67"/>
    </row>
    <row r="627" spans="3:13" x14ac:dyDescent="0.25">
      <c r="C627" s="71"/>
      <c r="K627" s="71"/>
      <c r="L627" s="71"/>
      <c r="M627" s="67"/>
    </row>
    <row r="628" spans="3:13" x14ac:dyDescent="0.25">
      <c r="C628" s="71"/>
      <c r="K628" s="71"/>
      <c r="L628" s="71"/>
      <c r="M628" s="67"/>
    </row>
    <row r="629" spans="3:13" x14ac:dyDescent="0.25">
      <c r="C629" s="71"/>
      <c r="K629" s="71"/>
      <c r="L629" s="71"/>
      <c r="M629" s="67"/>
    </row>
    <row r="630" spans="3:13" x14ac:dyDescent="0.25">
      <c r="C630" s="71"/>
      <c r="K630" s="71"/>
      <c r="L630" s="71"/>
      <c r="M630" s="67"/>
    </row>
    <row r="631" spans="3:13" x14ac:dyDescent="0.25">
      <c r="C631" s="71"/>
      <c r="K631" s="71"/>
      <c r="L631" s="71"/>
      <c r="M631" s="67"/>
    </row>
    <row r="632" spans="3:13" x14ac:dyDescent="0.25">
      <c r="C632" s="71"/>
      <c r="K632" s="71"/>
      <c r="L632" s="71"/>
      <c r="M632" s="67"/>
    </row>
    <row r="633" spans="3:13" x14ac:dyDescent="0.25">
      <c r="C633" s="71"/>
      <c r="K633" s="71"/>
      <c r="L633" s="71"/>
      <c r="M633" s="67"/>
    </row>
    <row r="634" spans="3:13" x14ac:dyDescent="0.25">
      <c r="C634" s="71"/>
      <c r="K634" s="71"/>
      <c r="L634" s="71"/>
      <c r="M634" s="67"/>
    </row>
    <row r="635" spans="3:13" x14ac:dyDescent="0.25">
      <c r="C635" s="71"/>
      <c r="K635" s="71"/>
      <c r="L635" s="71"/>
      <c r="M635" s="67"/>
    </row>
    <row r="636" spans="3:13" x14ac:dyDescent="0.25">
      <c r="C636" s="71"/>
      <c r="K636" s="71"/>
      <c r="L636" s="71"/>
      <c r="M636" s="67"/>
    </row>
    <row r="637" spans="3:13" x14ac:dyDescent="0.25">
      <c r="C637" s="69"/>
      <c r="K637" s="69"/>
      <c r="L637" s="69"/>
      <c r="M637" s="67"/>
    </row>
    <row r="638" spans="3:13" x14ac:dyDescent="0.25">
      <c r="C638" s="69"/>
      <c r="K638" s="69"/>
      <c r="L638" s="69"/>
      <c r="M638" s="67"/>
    </row>
    <row r="639" spans="3:13" x14ac:dyDescent="0.25">
      <c r="C639" s="69"/>
      <c r="K639" s="69"/>
      <c r="L639" s="69"/>
      <c r="M639" s="67"/>
    </row>
    <row r="640" spans="3:13" x14ac:dyDescent="0.25">
      <c r="C640" s="69"/>
      <c r="K640" s="69"/>
      <c r="L640" s="69"/>
      <c r="M640" s="67"/>
    </row>
    <row r="641" spans="3:13" x14ac:dyDescent="0.25">
      <c r="C641" s="69"/>
      <c r="K641" s="69"/>
      <c r="L641" s="69"/>
      <c r="M641" s="67"/>
    </row>
    <row r="642" spans="3:13" x14ac:dyDescent="0.25">
      <c r="C642" s="69"/>
      <c r="K642" s="69"/>
      <c r="L642" s="69"/>
      <c r="M642" s="67"/>
    </row>
    <row r="643" spans="3:13" x14ac:dyDescent="0.25">
      <c r="C643" s="69"/>
      <c r="K643" s="69"/>
      <c r="L643" s="69"/>
      <c r="M643" s="67"/>
    </row>
    <row r="644" spans="3:13" x14ac:dyDescent="0.25">
      <c r="C644" s="69"/>
      <c r="K644" s="69"/>
      <c r="L644" s="69"/>
      <c r="M644" s="67"/>
    </row>
    <row r="645" spans="3:13" x14ac:dyDescent="0.25">
      <c r="C645" s="69"/>
      <c r="K645" s="69"/>
      <c r="L645" s="69"/>
      <c r="M645" s="67"/>
    </row>
    <row r="646" spans="3:13" x14ac:dyDescent="0.25">
      <c r="C646" s="69"/>
      <c r="K646" s="69"/>
      <c r="L646" s="69"/>
      <c r="M646" s="67"/>
    </row>
    <row r="647" spans="3:13" x14ac:dyDescent="0.25">
      <c r="C647" s="69"/>
      <c r="K647" s="69"/>
      <c r="L647" s="69"/>
      <c r="M647" s="67"/>
    </row>
    <row r="648" spans="3:13" x14ac:dyDescent="0.25">
      <c r="C648" s="69"/>
      <c r="K648" s="69"/>
      <c r="L648" s="69"/>
      <c r="M648" s="67"/>
    </row>
    <row r="649" spans="3:13" x14ac:dyDescent="0.25">
      <c r="C649" s="69"/>
      <c r="K649" s="69"/>
      <c r="L649" s="69"/>
      <c r="M649" s="67"/>
    </row>
    <row r="650" spans="3:13" x14ac:dyDescent="0.25">
      <c r="C650" s="69"/>
      <c r="K650" s="69"/>
      <c r="L650" s="69"/>
      <c r="M650" s="67"/>
    </row>
    <row r="651" spans="3:13" x14ac:dyDescent="0.25">
      <c r="C651" s="69"/>
      <c r="K651" s="69"/>
      <c r="L651" s="69"/>
      <c r="M651" s="67"/>
    </row>
    <row r="652" spans="3:13" x14ac:dyDescent="0.25">
      <c r="C652" s="69"/>
      <c r="K652" s="69"/>
      <c r="L652" s="69"/>
      <c r="M652" s="67"/>
    </row>
    <row r="653" spans="3:13" x14ac:dyDescent="0.25">
      <c r="C653" s="69"/>
      <c r="K653" s="69"/>
      <c r="L653" s="69"/>
      <c r="M653" s="67"/>
    </row>
    <row r="654" spans="3:13" x14ac:dyDescent="0.25">
      <c r="C654" s="69"/>
      <c r="K654" s="69"/>
      <c r="L654" s="69"/>
      <c r="M654" s="67"/>
    </row>
    <row r="655" spans="3:13" x14ac:dyDescent="0.25">
      <c r="C655" s="69"/>
      <c r="K655" s="69"/>
      <c r="L655" s="69"/>
      <c r="M655" s="67"/>
    </row>
    <row r="656" spans="3:13" x14ac:dyDescent="0.25">
      <c r="C656" s="69"/>
      <c r="K656" s="69"/>
      <c r="L656" s="69"/>
      <c r="M656" s="67"/>
    </row>
    <row r="657" spans="3:13" x14ac:dyDescent="0.25">
      <c r="C657" s="69"/>
      <c r="K657" s="69"/>
      <c r="L657" s="69"/>
      <c r="M657" s="67"/>
    </row>
    <row r="658" spans="3:13" x14ac:dyDescent="0.25">
      <c r="C658" s="69"/>
      <c r="K658" s="69"/>
      <c r="L658" s="69"/>
      <c r="M658" s="67"/>
    </row>
    <row r="659" spans="3:13" x14ac:dyDescent="0.25">
      <c r="C659" s="69"/>
      <c r="K659" s="69"/>
      <c r="L659" s="69"/>
      <c r="M659" s="67"/>
    </row>
    <row r="660" spans="3:13" x14ac:dyDescent="0.25">
      <c r="C660" s="69"/>
      <c r="K660" s="69"/>
      <c r="L660" s="69"/>
      <c r="M660" s="67"/>
    </row>
    <row r="661" spans="3:13" x14ac:dyDescent="0.25">
      <c r="C661" s="69"/>
      <c r="K661" s="69"/>
      <c r="L661" s="69"/>
      <c r="M661" s="67"/>
    </row>
    <row r="662" spans="3:13" x14ac:dyDescent="0.25">
      <c r="C662" s="69"/>
      <c r="K662" s="69"/>
      <c r="L662" s="69"/>
      <c r="M662" s="67"/>
    </row>
    <row r="663" spans="3:13" x14ac:dyDescent="0.25">
      <c r="C663" s="69"/>
      <c r="K663" s="69"/>
      <c r="L663" s="69"/>
      <c r="M663" s="67"/>
    </row>
    <row r="664" spans="3:13" x14ac:dyDescent="0.25">
      <c r="C664" s="69"/>
      <c r="K664" s="69"/>
      <c r="L664" s="69"/>
      <c r="M664" s="67"/>
    </row>
    <row r="665" spans="3:13" x14ac:dyDescent="0.25">
      <c r="C665" s="69"/>
      <c r="K665" s="69"/>
      <c r="L665" s="69"/>
      <c r="M665" s="67"/>
    </row>
    <row r="666" spans="3:13" x14ac:dyDescent="0.25">
      <c r="C666" s="69"/>
      <c r="K666" s="69"/>
      <c r="L666" s="69"/>
      <c r="M666" s="67"/>
    </row>
    <row r="667" spans="3:13" x14ac:dyDescent="0.25">
      <c r="C667" s="69"/>
      <c r="K667" s="69"/>
      <c r="L667" s="69"/>
      <c r="M667" s="67"/>
    </row>
    <row r="668" spans="3:13" x14ac:dyDescent="0.25">
      <c r="C668" s="69"/>
      <c r="K668" s="69"/>
      <c r="L668" s="69"/>
      <c r="M668" s="67"/>
    </row>
    <row r="669" spans="3:13" x14ac:dyDescent="0.25">
      <c r="C669" s="69"/>
      <c r="K669" s="69"/>
      <c r="L669" s="69"/>
      <c r="M669" s="67"/>
    </row>
    <row r="670" spans="3:13" x14ac:dyDescent="0.25">
      <c r="C670" s="69"/>
      <c r="K670" s="69"/>
      <c r="L670" s="69"/>
      <c r="M670" s="67"/>
    </row>
    <row r="671" spans="3:13" x14ac:dyDescent="0.25">
      <c r="C671" s="69"/>
      <c r="K671" s="69"/>
      <c r="L671" s="69"/>
      <c r="M671" s="67"/>
    </row>
    <row r="672" spans="3:13" x14ac:dyDescent="0.25">
      <c r="C672" s="69"/>
      <c r="K672" s="69"/>
      <c r="L672" s="69"/>
      <c r="M672" s="67"/>
    </row>
    <row r="673" spans="3:13" x14ac:dyDescent="0.25">
      <c r="C673" s="69"/>
      <c r="K673" s="69"/>
      <c r="L673" s="69"/>
      <c r="M673" s="67"/>
    </row>
    <row r="674" spans="3:13" x14ac:dyDescent="0.25">
      <c r="C674" s="69"/>
      <c r="K674" s="69"/>
      <c r="L674" s="69"/>
      <c r="M674" s="67"/>
    </row>
    <row r="675" spans="3:13" x14ac:dyDescent="0.25">
      <c r="C675" s="69"/>
      <c r="K675" s="69"/>
      <c r="L675" s="69"/>
      <c r="M675" s="67"/>
    </row>
    <row r="676" spans="3:13" x14ac:dyDescent="0.25">
      <c r="C676" s="69"/>
      <c r="K676" s="69"/>
      <c r="L676" s="69"/>
      <c r="M676" s="67"/>
    </row>
    <row r="677" spans="3:13" x14ac:dyDescent="0.25">
      <c r="C677" s="69"/>
      <c r="K677" s="69"/>
      <c r="L677" s="69"/>
      <c r="M677" s="67"/>
    </row>
    <row r="678" spans="3:13" x14ac:dyDescent="0.25">
      <c r="C678" s="69"/>
      <c r="K678" s="69"/>
      <c r="L678" s="69"/>
      <c r="M678" s="67"/>
    </row>
    <row r="679" spans="3:13" x14ac:dyDescent="0.25">
      <c r="C679" s="69"/>
      <c r="K679" s="69"/>
      <c r="L679" s="69"/>
      <c r="M679" s="67"/>
    </row>
    <row r="680" spans="3:13" x14ac:dyDescent="0.25">
      <c r="C680" s="69"/>
      <c r="K680" s="69"/>
      <c r="L680" s="69"/>
      <c r="M680" s="67"/>
    </row>
    <row r="681" spans="3:13" x14ac:dyDescent="0.25">
      <c r="C681" s="69"/>
      <c r="K681" s="69"/>
      <c r="L681" s="69"/>
      <c r="M681" s="67"/>
    </row>
    <row r="682" spans="3:13" x14ac:dyDescent="0.25">
      <c r="C682" s="69"/>
      <c r="K682" s="69"/>
      <c r="L682" s="69"/>
      <c r="M682" s="67"/>
    </row>
    <row r="683" spans="3:13" x14ac:dyDescent="0.25">
      <c r="C683" s="69"/>
      <c r="K683" s="69"/>
      <c r="L683" s="69"/>
      <c r="M683" s="67"/>
    </row>
    <row r="684" spans="3:13" x14ac:dyDescent="0.25">
      <c r="C684" s="69"/>
      <c r="K684" s="69"/>
      <c r="L684" s="69"/>
      <c r="M684" s="67"/>
    </row>
    <row r="685" spans="3:13" x14ac:dyDescent="0.25">
      <c r="C685" s="69"/>
      <c r="K685" s="69"/>
      <c r="L685" s="69"/>
      <c r="M685" s="67"/>
    </row>
    <row r="686" spans="3:13" x14ac:dyDescent="0.25">
      <c r="C686" s="69"/>
      <c r="K686" s="69"/>
      <c r="L686" s="69"/>
      <c r="M686" s="67"/>
    </row>
    <row r="687" spans="3:13" x14ac:dyDescent="0.25">
      <c r="C687" s="69"/>
      <c r="K687" s="69"/>
      <c r="L687" s="69"/>
      <c r="M687" s="67"/>
    </row>
    <row r="688" spans="3:13" x14ac:dyDescent="0.25">
      <c r="C688" s="69"/>
      <c r="K688" s="69"/>
      <c r="L688" s="69"/>
      <c r="M688" s="67"/>
    </row>
    <row r="689" spans="3:13" x14ac:dyDescent="0.25">
      <c r="C689" s="69"/>
      <c r="K689" s="69"/>
      <c r="L689" s="69"/>
      <c r="M689" s="67"/>
    </row>
    <row r="690" spans="3:13" x14ac:dyDescent="0.25">
      <c r="C690" s="69"/>
      <c r="K690" s="69"/>
      <c r="L690" s="69"/>
      <c r="M690" s="67"/>
    </row>
    <row r="691" spans="3:13" x14ac:dyDescent="0.25">
      <c r="C691" s="69"/>
      <c r="K691" s="69"/>
      <c r="L691" s="69"/>
      <c r="M691" s="67"/>
    </row>
    <row r="692" spans="3:13" x14ac:dyDescent="0.25">
      <c r="C692" s="69"/>
      <c r="K692" s="69"/>
      <c r="L692" s="69"/>
      <c r="M692" s="67"/>
    </row>
    <row r="693" spans="3:13" x14ac:dyDescent="0.25">
      <c r="C693" s="69"/>
      <c r="K693" s="69"/>
      <c r="L693" s="69"/>
      <c r="M693" s="67"/>
    </row>
    <row r="694" spans="3:13" x14ac:dyDescent="0.25">
      <c r="C694" s="69"/>
      <c r="K694" s="69"/>
      <c r="L694" s="69"/>
      <c r="M694" s="67"/>
    </row>
    <row r="695" spans="3:13" x14ac:dyDescent="0.25">
      <c r="C695" s="69"/>
      <c r="K695" s="69"/>
      <c r="L695" s="69"/>
      <c r="M695" s="67"/>
    </row>
    <row r="696" spans="3:13" x14ac:dyDescent="0.25">
      <c r="C696" s="69"/>
      <c r="K696" s="69"/>
      <c r="L696" s="69"/>
      <c r="M696" s="67"/>
    </row>
    <row r="697" spans="3:13" x14ac:dyDescent="0.25">
      <c r="C697" s="69"/>
      <c r="K697" s="69"/>
      <c r="L697" s="69"/>
      <c r="M697" s="67"/>
    </row>
    <row r="698" spans="3:13" x14ac:dyDescent="0.25">
      <c r="C698" s="69"/>
      <c r="K698" s="69"/>
      <c r="L698" s="69"/>
      <c r="M698" s="67"/>
    </row>
    <row r="699" spans="3:13" x14ac:dyDescent="0.25">
      <c r="C699" s="71"/>
      <c r="K699" s="71"/>
      <c r="L699" s="71"/>
      <c r="M699" s="67"/>
    </row>
    <row r="700" spans="3:13" x14ac:dyDescent="0.25">
      <c r="C700" s="71"/>
      <c r="K700" s="71"/>
      <c r="L700" s="71"/>
      <c r="M700" s="67"/>
    </row>
    <row r="701" spans="3:13" x14ac:dyDescent="0.25">
      <c r="C701" s="71"/>
      <c r="K701" s="71"/>
      <c r="L701" s="71"/>
      <c r="M701" s="67"/>
    </row>
    <row r="702" spans="3:13" x14ac:dyDescent="0.25">
      <c r="C702" s="71"/>
      <c r="K702" s="71"/>
      <c r="L702" s="71"/>
      <c r="M702" s="67"/>
    </row>
    <row r="703" spans="3:13" x14ac:dyDescent="0.25">
      <c r="C703" s="71"/>
      <c r="K703" s="71"/>
      <c r="L703" s="71"/>
      <c r="M703" s="67"/>
    </row>
    <row r="704" spans="3:13" x14ac:dyDescent="0.25">
      <c r="C704" s="71"/>
      <c r="K704" s="71"/>
      <c r="L704" s="71"/>
      <c r="M704" s="67"/>
    </row>
    <row r="705" spans="3:13" x14ac:dyDescent="0.25">
      <c r="C705" s="71"/>
      <c r="K705" s="71"/>
      <c r="L705" s="71"/>
      <c r="M705" s="67"/>
    </row>
    <row r="706" spans="3:13" x14ac:dyDescent="0.25">
      <c r="C706" s="71"/>
      <c r="K706" s="71"/>
      <c r="L706" s="71"/>
      <c r="M706" s="67"/>
    </row>
    <row r="707" spans="3:13" x14ac:dyDescent="0.25">
      <c r="C707" s="71"/>
      <c r="K707" s="71"/>
      <c r="L707" s="71"/>
      <c r="M707" s="67"/>
    </row>
    <row r="708" spans="3:13" x14ac:dyDescent="0.25">
      <c r="C708" s="71"/>
      <c r="K708" s="71"/>
      <c r="L708" s="71"/>
      <c r="M708" s="67"/>
    </row>
    <row r="709" spans="3:13" x14ac:dyDescent="0.25">
      <c r="C709" s="71"/>
      <c r="K709" s="71"/>
      <c r="L709" s="71"/>
      <c r="M709" s="67"/>
    </row>
    <row r="710" spans="3:13" x14ac:dyDescent="0.25">
      <c r="C710" s="71"/>
      <c r="K710" s="71"/>
      <c r="L710" s="71"/>
      <c r="M710" s="67"/>
    </row>
    <row r="711" spans="3:13" x14ac:dyDescent="0.25">
      <c r="C711" s="71"/>
      <c r="K711" s="71"/>
      <c r="L711" s="71"/>
      <c r="M711" s="67"/>
    </row>
    <row r="712" spans="3:13" x14ac:dyDescent="0.25">
      <c r="C712" s="71"/>
      <c r="K712" s="71"/>
      <c r="L712" s="71"/>
      <c r="M712" s="67"/>
    </row>
    <row r="713" spans="3:13" x14ac:dyDescent="0.25">
      <c r="C713" s="71"/>
      <c r="K713" s="71"/>
      <c r="L713" s="71"/>
      <c r="M713" s="67"/>
    </row>
    <row r="714" spans="3:13" x14ac:dyDescent="0.25">
      <c r="C714" s="71"/>
      <c r="K714" s="71"/>
      <c r="L714" s="71"/>
      <c r="M714" s="67"/>
    </row>
    <row r="715" spans="3:13" x14ac:dyDescent="0.25">
      <c r="C715" s="71"/>
      <c r="K715" s="71"/>
      <c r="L715" s="71"/>
      <c r="M715" s="67"/>
    </row>
    <row r="716" spans="3:13" x14ac:dyDescent="0.25">
      <c r="C716" s="71"/>
      <c r="K716" s="71"/>
      <c r="L716" s="71"/>
      <c r="M716" s="67"/>
    </row>
    <row r="717" spans="3:13" x14ac:dyDescent="0.25">
      <c r="C717" s="71"/>
      <c r="K717" s="71"/>
      <c r="L717" s="71"/>
      <c r="M717" s="67"/>
    </row>
    <row r="718" spans="3:13" x14ac:dyDescent="0.25">
      <c r="C718" s="71"/>
      <c r="K718" s="71"/>
      <c r="L718" s="71"/>
      <c r="M718" s="67"/>
    </row>
    <row r="719" spans="3:13" x14ac:dyDescent="0.25">
      <c r="C719" s="71"/>
      <c r="K719" s="71"/>
      <c r="L719" s="71"/>
      <c r="M719" s="67"/>
    </row>
    <row r="720" spans="3:13" x14ac:dyDescent="0.25">
      <c r="C720" s="71"/>
      <c r="K720" s="71"/>
      <c r="L720" s="71"/>
      <c r="M720" s="67"/>
    </row>
    <row r="721" spans="3:13" x14ac:dyDescent="0.25">
      <c r="C721" s="71"/>
      <c r="K721" s="71"/>
      <c r="L721" s="71"/>
      <c r="M721" s="67"/>
    </row>
    <row r="722" spans="3:13" x14ac:dyDescent="0.25">
      <c r="C722" s="71"/>
      <c r="K722" s="71"/>
      <c r="L722" s="71"/>
      <c r="M722" s="67"/>
    </row>
    <row r="723" spans="3:13" x14ac:dyDescent="0.25">
      <c r="C723" s="71"/>
      <c r="K723" s="71"/>
      <c r="L723" s="71"/>
      <c r="M723" s="67"/>
    </row>
    <row r="724" spans="3:13" x14ac:dyDescent="0.25">
      <c r="C724" s="71"/>
      <c r="K724" s="71"/>
      <c r="L724" s="71"/>
      <c r="M724" s="67"/>
    </row>
    <row r="725" spans="3:13" x14ac:dyDescent="0.25">
      <c r="C725" s="71"/>
      <c r="K725" s="71"/>
      <c r="L725" s="71"/>
      <c r="M725" s="67"/>
    </row>
    <row r="726" spans="3:13" x14ac:dyDescent="0.25">
      <c r="C726" s="71"/>
      <c r="K726" s="71"/>
      <c r="L726" s="71"/>
      <c r="M726" s="67"/>
    </row>
    <row r="727" spans="3:13" x14ac:dyDescent="0.25">
      <c r="C727" s="71"/>
      <c r="K727" s="71"/>
      <c r="L727" s="71"/>
      <c r="M727" s="67"/>
    </row>
    <row r="728" spans="3:13" x14ac:dyDescent="0.25">
      <c r="C728" s="71"/>
      <c r="K728" s="71"/>
      <c r="L728" s="71"/>
      <c r="M728" s="67"/>
    </row>
    <row r="729" spans="3:13" x14ac:dyDescent="0.25">
      <c r="C729" s="71"/>
      <c r="K729" s="71"/>
      <c r="L729" s="71"/>
      <c r="M729" s="67"/>
    </row>
    <row r="730" spans="3:13" x14ac:dyDescent="0.25">
      <c r="C730" s="71"/>
      <c r="K730" s="71"/>
      <c r="L730" s="71"/>
      <c r="M730" s="67"/>
    </row>
    <row r="731" spans="3:13" x14ac:dyDescent="0.25">
      <c r="C731" s="71"/>
      <c r="K731" s="71"/>
      <c r="L731" s="71"/>
      <c r="M731" s="67"/>
    </row>
    <row r="732" spans="3:13" x14ac:dyDescent="0.25">
      <c r="C732" s="71"/>
      <c r="K732" s="71"/>
      <c r="L732" s="71"/>
      <c r="M732" s="67"/>
    </row>
    <row r="733" spans="3:13" x14ac:dyDescent="0.25">
      <c r="C733" s="71"/>
      <c r="K733" s="71"/>
      <c r="L733" s="71"/>
      <c r="M733" s="67"/>
    </row>
    <row r="734" spans="3:13" x14ac:dyDescent="0.25">
      <c r="C734" s="71"/>
      <c r="K734" s="71"/>
      <c r="L734" s="71"/>
      <c r="M734" s="67"/>
    </row>
    <row r="735" spans="3:13" x14ac:dyDescent="0.25">
      <c r="C735" s="71"/>
      <c r="K735" s="71"/>
      <c r="L735" s="71"/>
      <c r="M735" s="67"/>
    </row>
    <row r="736" spans="3:13" x14ac:dyDescent="0.25">
      <c r="C736" s="71"/>
      <c r="K736" s="71"/>
      <c r="L736" s="71"/>
      <c r="M736" s="67"/>
    </row>
    <row r="737" spans="3:13" x14ac:dyDescent="0.25">
      <c r="C737" s="71"/>
      <c r="K737" s="71"/>
      <c r="L737" s="71"/>
      <c r="M737" s="67"/>
    </row>
    <row r="738" spans="3:13" x14ac:dyDescent="0.25">
      <c r="C738" s="71"/>
      <c r="K738" s="71"/>
      <c r="L738" s="71"/>
      <c r="M738" s="67"/>
    </row>
    <row r="739" spans="3:13" x14ac:dyDescent="0.25">
      <c r="C739" s="71"/>
      <c r="K739" s="71"/>
      <c r="L739" s="71"/>
      <c r="M739" s="67"/>
    </row>
    <row r="740" spans="3:13" x14ac:dyDescent="0.25">
      <c r="C740" s="71"/>
      <c r="K740" s="71"/>
      <c r="L740" s="71"/>
      <c r="M740" s="67"/>
    </row>
    <row r="741" spans="3:13" x14ac:dyDescent="0.25">
      <c r="C741" s="71"/>
      <c r="K741" s="71"/>
      <c r="L741" s="71"/>
      <c r="M741" s="67"/>
    </row>
    <row r="742" spans="3:13" x14ac:dyDescent="0.25">
      <c r="C742" s="71"/>
      <c r="K742" s="71"/>
      <c r="L742" s="71"/>
      <c r="M742" s="67"/>
    </row>
    <row r="743" spans="3:13" x14ac:dyDescent="0.25">
      <c r="C743" s="71"/>
      <c r="K743" s="71"/>
      <c r="L743" s="71"/>
      <c r="M743" s="67"/>
    </row>
    <row r="744" spans="3:13" x14ac:dyDescent="0.25">
      <c r="C744" s="71"/>
      <c r="K744" s="71"/>
      <c r="L744" s="71"/>
      <c r="M744" s="67"/>
    </row>
    <row r="745" spans="3:13" x14ac:dyDescent="0.25">
      <c r="C745" s="71"/>
      <c r="K745" s="71"/>
      <c r="L745" s="71"/>
      <c r="M745" s="67"/>
    </row>
    <row r="746" spans="3:13" x14ac:dyDescent="0.25">
      <c r="C746" s="71"/>
      <c r="K746" s="71"/>
      <c r="L746" s="71"/>
      <c r="M746" s="67"/>
    </row>
    <row r="747" spans="3:13" x14ac:dyDescent="0.25">
      <c r="C747" s="71"/>
      <c r="K747" s="71"/>
      <c r="L747" s="71"/>
      <c r="M747" s="67"/>
    </row>
    <row r="748" spans="3:13" x14ac:dyDescent="0.25">
      <c r="C748" s="71"/>
      <c r="K748" s="71"/>
      <c r="L748" s="71"/>
      <c r="M748" s="67"/>
    </row>
    <row r="749" spans="3:13" x14ac:dyDescent="0.25">
      <c r="C749" s="71"/>
      <c r="K749" s="71"/>
      <c r="L749" s="71"/>
      <c r="M749" s="67"/>
    </row>
    <row r="750" spans="3:13" x14ac:dyDescent="0.25">
      <c r="C750" s="71"/>
      <c r="K750" s="71"/>
      <c r="L750" s="71"/>
      <c r="M750" s="67"/>
    </row>
    <row r="751" spans="3:13" x14ac:dyDescent="0.25">
      <c r="C751" s="71"/>
      <c r="K751" s="71"/>
      <c r="L751" s="71"/>
      <c r="M751" s="67"/>
    </row>
    <row r="752" spans="3:13" x14ac:dyDescent="0.25">
      <c r="C752" s="71"/>
      <c r="K752" s="71"/>
      <c r="L752" s="71"/>
      <c r="M752" s="67"/>
    </row>
    <row r="753" spans="1:23" x14ac:dyDescent="0.25">
      <c r="C753" s="71"/>
      <c r="K753" s="71"/>
      <c r="L753" s="71"/>
      <c r="M753" s="67"/>
    </row>
    <row r="754" spans="1:23" x14ac:dyDescent="0.25">
      <c r="C754" s="71"/>
      <c r="K754" s="71"/>
      <c r="L754" s="71"/>
      <c r="M754" s="67"/>
    </row>
    <row r="755" spans="1:23" x14ac:dyDescent="0.25">
      <c r="C755" s="71"/>
      <c r="K755" s="71"/>
      <c r="L755" s="71"/>
      <c r="M755" s="67"/>
    </row>
    <row r="756" spans="1:23" x14ac:dyDescent="0.25">
      <c r="C756" s="71"/>
      <c r="K756" s="71"/>
      <c r="L756" s="71"/>
      <c r="M756" s="67"/>
    </row>
    <row r="757" spans="1:23" x14ac:dyDescent="0.25">
      <c r="C757" s="71"/>
      <c r="K757" s="71"/>
      <c r="L757" s="71"/>
      <c r="M757" s="67"/>
    </row>
    <row r="758" spans="1:23" x14ac:dyDescent="0.25">
      <c r="C758" s="71"/>
      <c r="K758" s="71"/>
      <c r="L758" s="71"/>
      <c r="M758" s="67"/>
    </row>
    <row r="759" spans="1:23" x14ac:dyDescent="0.25">
      <c r="C759" s="71"/>
      <c r="K759" s="71"/>
      <c r="L759" s="71"/>
      <c r="M759" s="67"/>
    </row>
    <row r="760" spans="1:23" s="56" customFormat="1" x14ac:dyDescent="0.25">
      <c r="A760" s="68"/>
      <c r="B760" s="68"/>
      <c r="C760" s="71"/>
      <c r="D760" s="68"/>
      <c r="E760" s="68"/>
      <c r="F760" s="68"/>
      <c r="G760" s="68"/>
      <c r="H760" s="68"/>
      <c r="I760" s="68"/>
      <c r="J760" s="68"/>
      <c r="K760" s="71"/>
      <c r="L760" s="71"/>
      <c r="M760" s="67"/>
      <c r="N760" s="68"/>
      <c r="O760" s="68"/>
      <c r="P760" s="68"/>
      <c r="Q760" s="68"/>
      <c r="R760" s="68"/>
      <c r="S760" s="68"/>
      <c r="T760" s="68"/>
      <c r="U760" s="68"/>
      <c r="V760" s="68"/>
      <c r="W760" s="68"/>
    </row>
    <row r="761" spans="1:23" s="56" customFormat="1" x14ac:dyDescent="0.25">
      <c r="A761" s="68"/>
      <c r="B761" s="68"/>
      <c r="C761" s="71"/>
      <c r="D761" s="68"/>
      <c r="E761" s="68"/>
      <c r="F761" s="68"/>
      <c r="G761" s="68"/>
      <c r="H761" s="68"/>
      <c r="I761" s="68"/>
      <c r="J761" s="68"/>
      <c r="K761" s="71"/>
      <c r="L761" s="71"/>
      <c r="M761" s="67"/>
      <c r="N761" s="68"/>
      <c r="O761" s="68"/>
      <c r="P761" s="68"/>
      <c r="Q761" s="68"/>
      <c r="R761" s="68"/>
      <c r="S761" s="68"/>
      <c r="T761" s="68"/>
      <c r="U761" s="68"/>
      <c r="V761" s="68"/>
      <c r="W761" s="68"/>
    </row>
    <row r="762" spans="1:23" s="56" customFormat="1" x14ac:dyDescent="0.25">
      <c r="A762" s="68"/>
      <c r="B762" s="68"/>
      <c r="C762" s="71"/>
      <c r="D762" s="68"/>
      <c r="E762" s="68"/>
      <c r="F762" s="68"/>
      <c r="G762" s="68"/>
      <c r="H762" s="68"/>
      <c r="I762" s="68"/>
      <c r="J762" s="68"/>
      <c r="K762" s="71"/>
      <c r="L762" s="71"/>
      <c r="M762" s="67"/>
      <c r="N762" s="68"/>
      <c r="O762" s="68"/>
      <c r="P762" s="68"/>
      <c r="Q762" s="68"/>
      <c r="R762" s="68"/>
      <c r="S762" s="68"/>
      <c r="T762" s="68"/>
      <c r="U762" s="68"/>
      <c r="V762" s="68"/>
      <c r="W762" s="68"/>
    </row>
    <row r="763" spans="1:23" s="56" customFormat="1" x14ac:dyDescent="0.25">
      <c r="A763" s="68"/>
      <c r="B763" s="68"/>
      <c r="C763" s="71"/>
      <c r="D763" s="68"/>
      <c r="E763" s="68"/>
      <c r="F763" s="68"/>
      <c r="G763" s="68"/>
      <c r="H763" s="68"/>
      <c r="I763" s="68"/>
      <c r="J763" s="68"/>
      <c r="K763" s="71"/>
      <c r="L763" s="71"/>
      <c r="M763" s="67"/>
      <c r="N763" s="68"/>
      <c r="O763" s="68"/>
      <c r="P763" s="68"/>
      <c r="Q763" s="68"/>
      <c r="R763" s="68"/>
      <c r="S763" s="68"/>
      <c r="T763" s="68"/>
      <c r="U763" s="68"/>
      <c r="V763" s="68"/>
      <c r="W763" s="68"/>
    </row>
    <row r="764" spans="1:23" s="56" customFormat="1" x14ac:dyDescent="0.25">
      <c r="A764" s="68"/>
      <c r="B764" s="68"/>
      <c r="C764" s="71"/>
      <c r="D764" s="68"/>
      <c r="E764" s="68"/>
      <c r="F764" s="68"/>
      <c r="G764" s="68"/>
      <c r="H764" s="68"/>
      <c r="I764" s="68"/>
      <c r="J764" s="68"/>
      <c r="K764" s="71"/>
      <c r="L764" s="71"/>
      <c r="M764" s="67"/>
      <c r="N764" s="68"/>
      <c r="O764" s="68"/>
      <c r="P764" s="68"/>
      <c r="Q764" s="68"/>
      <c r="R764" s="68"/>
      <c r="S764" s="68"/>
      <c r="T764" s="68"/>
      <c r="U764" s="68"/>
      <c r="V764" s="68"/>
      <c r="W764" s="68"/>
    </row>
    <row r="765" spans="1:23" s="56" customFormat="1" x14ac:dyDescent="0.25">
      <c r="A765" s="68"/>
      <c r="B765" s="68"/>
      <c r="C765" s="71"/>
      <c r="D765" s="68"/>
      <c r="E765" s="68"/>
      <c r="F765" s="68"/>
      <c r="G765" s="68"/>
      <c r="H765" s="68"/>
      <c r="I765" s="68"/>
      <c r="J765" s="68"/>
      <c r="K765" s="71"/>
      <c r="L765" s="71"/>
      <c r="M765" s="67"/>
      <c r="N765" s="68"/>
      <c r="O765" s="68"/>
      <c r="P765" s="68"/>
      <c r="Q765" s="68"/>
      <c r="R765" s="68"/>
      <c r="S765" s="68"/>
      <c r="T765" s="68"/>
      <c r="U765" s="68"/>
      <c r="V765" s="68"/>
      <c r="W765" s="68"/>
    </row>
    <row r="766" spans="1:23" s="56" customFormat="1" x14ac:dyDescent="0.25">
      <c r="A766" s="68"/>
      <c r="B766" s="68"/>
      <c r="C766" s="71"/>
      <c r="D766" s="68"/>
      <c r="E766" s="68"/>
      <c r="F766" s="68"/>
      <c r="G766" s="68"/>
      <c r="H766" s="68"/>
      <c r="I766" s="68"/>
      <c r="J766" s="68"/>
      <c r="K766" s="71"/>
      <c r="L766" s="71"/>
      <c r="M766" s="67"/>
      <c r="N766" s="68"/>
      <c r="O766" s="68"/>
      <c r="P766" s="68"/>
      <c r="Q766" s="68"/>
      <c r="R766" s="68"/>
      <c r="S766" s="68"/>
      <c r="T766" s="68"/>
      <c r="U766" s="68"/>
      <c r="V766" s="68"/>
      <c r="W766" s="68"/>
    </row>
    <row r="767" spans="1:23" s="56" customFormat="1" x14ac:dyDescent="0.25">
      <c r="A767" s="68"/>
      <c r="B767" s="68"/>
      <c r="C767" s="71"/>
      <c r="D767" s="68"/>
      <c r="E767" s="68"/>
      <c r="F767" s="68"/>
      <c r="G767" s="68"/>
      <c r="H767" s="68"/>
      <c r="I767" s="68"/>
      <c r="J767" s="68"/>
      <c r="K767" s="71"/>
      <c r="L767" s="71"/>
      <c r="M767" s="67"/>
      <c r="N767" s="68"/>
      <c r="O767" s="68"/>
      <c r="P767" s="68"/>
      <c r="Q767" s="68"/>
      <c r="R767" s="68"/>
      <c r="S767" s="68"/>
      <c r="T767" s="68"/>
      <c r="U767" s="68"/>
      <c r="V767" s="68"/>
      <c r="W767" s="68"/>
    </row>
    <row r="768" spans="1:23" s="56" customFormat="1" x14ac:dyDescent="0.25">
      <c r="A768" s="68"/>
      <c r="B768" s="68"/>
      <c r="C768" s="71"/>
      <c r="D768" s="68"/>
      <c r="E768" s="68"/>
      <c r="F768" s="68"/>
      <c r="G768" s="68"/>
      <c r="H768" s="68"/>
      <c r="I768" s="68"/>
      <c r="J768" s="68"/>
      <c r="K768" s="71"/>
      <c r="L768" s="71"/>
      <c r="M768" s="67"/>
      <c r="N768" s="68"/>
      <c r="O768" s="68"/>
      <c r="P768" s="68"/>
      <c r="Q768" s="68"/>
      <c r="R768" s="68"/>
      <c r="S768" s="68"/>
      <c r="T768" s="68"/>
      <c r="U768" s="68"/>
      <c r="V768" s="68"/>
      <c r="W768" s="68"/>
    </row>
    <row r="769" spans="1:23" s="56" customFormat="1" x14ac:dyDescent="0.25">
      <c r="A769" s="68"/>
      <c r="B769" s="68"/>
      <c r="C769" s="71"/>
      <c r="D769" s="68"/>
      <c r="E769" s="68"/>
      <c r="F769" s="68"/>
      <c r="G769" s="68"/>
      <c r="H769" s="68"/>
      <c r="I769" s="68"/>
      <c r="J769" s="68"/>
      <c r="K769" s="71"/>
      <c r="L769" s="71"/>
      <c r="M769" s="67"/>
      <c r="N769" s="68"/>
      <c r="O769" s="68"/>
      <c r="P769" s="68"/>
      <c r="Q769" s="68"/>
      <c r="R769" s="68"/>
      <c r="S769" s="68"/>
      <c r="T769" s="68"/>
      <c r="U769" s="68"/>
      <c r="V769" s="68"/>
      <c r="W769" s="68"/>
    </row>
    <row r="770" spans="1:23" s="56" customFormat="1" x14ac:dyDescent="0.25">
      <c r="A770" s="68"/>
      <c r="B770" s="68"/>
      <c r="C770" s="71"/>
      <c r="D770" s="68"/>
      <c r="E770" s="68"/>
      <c r="F770" s="68"/>
      <c r="G770" s="68"/>
      <c r="H770" s="68"/>
      <c r="I770" s="68"/>
      <c r="J770" s="68"/>
      <c r="K770" s="71"/>
      <c r="L770" s="71"/>
      <c r="M770" s="67"/>
      <c r="N770" s="68"/>
      <c r="O770" s="68"/>
      <c r="P770" s="68"/>
      <c r="Q770" s="68"/>
      <c r="R770" s="68"/>
      <c r="S770" s="68"/>
      <c r="T770" s="68"/>
      <c r="U770" s="68"/>
      <c r="V770" s="68"/>
      <c r="W770" s="68"/>
    </row>
    <row r="771" spans="1:23" s="56" customFormat="1" x14ac:dyDescent="0.25">
      <c r="A771" s="68"/>
      <c r="B771" s="68"/>
      <c r="C771" s="71"/>
      <c r="D771" s="68"/>
      <c r="E771" s="68"/>
      <c r="F771" s="68"/>
      <c r="G771" s="68"/>
      <c r="H771" s="68"/>
      <c r="I771" s="68"/>
      <c r="J771" s="68"/>
      <c r="K771" s="71"/>
      <c r="L771" s="71"/>
      <c r="M771" s="67"/>
      <c r="N771" s="68"/>
      <c r="O771" s="68"/>
      <c r="P771" s="68"/>
      <c r="Q771" s="68"/>
      <c r="R771" s="68"/>
      <c r="S771" s="68"/>
      <c r="T771" s="68"/>
      <c r="U771" s="68"/>
      <c r="V771" s="68"/>
      <c r="W771" s="68"/>
    </row>
    <row r="772" spans="1:23" s="56" customFormat="1" x14ac:dyDescent="0.25">
      <c r="A772" s="68"/>
      <c r="B772" s="68"/>
      <c r="C772" s="71"/>
      <c r="D772" s="68"/>
      <c r="E772" s="68"/>
      <c r="F772" s="68"/>
      <c r="G772" s="68"/>
      <c r="H772" s="68"/>
      <c r="I772" s="68"/>
      <c r="J772" s="68"/>
      <c r="K772" s="71"/>
      <c r="L772" s="71"/>
      <c r="M772" s="67"/>
      <c r="N772" s="68"/>
      <c r="O772" s="68"/>
      <c r="P772" s="68"/>
      <c r="Q772" s="68"/>
      <c r="R772" s="68"/>
      <c r="S772" s="68"/>
      <c r="T772" s="68"/>
      <c r="U772" s="68"/>
      <c r="V772" s="68"/>
      <c r="W772" s="68"/>
    </row>
    <row r="773" spans="1:23" s="56" customFormat="1" x14ac:dyDescent="0.25">
      <c r="A773" s="68"/>
      <c r="B773" s="68"/>
      <c r="C773" s="71"/>
      <c r="D773" s="68"/>
      <c r="E773" s="68"/>
      <c r="F773" s="68"/>
      <c r="G773" s="68"/>
      <c r="H773" s="68"/>
      <c r="I773" s="68"/>
      <c r="J773" s="68"/>
      <c r="K773" s="71"/>
      <c r="L773" s="71"/>
      <c r="M773" s="67"/>
      <c r="N773" s="68"/>
      <c r="O773" s="68"/>
      <c r="P773" s="68"/>
      <c r="Q773" s="68"/>
      <c r="R773" s="68"/>
      <c r="S773" s="68"/>
      <c r="T773" s="68"/>
      <c r="U773" s="68"/>
      <c r="V773" s="68"/>
      <c r="W773" s="68"/>
    </row>
    <row r="774" spans="1:23" s="56" customFormat="1" x14ac:dyDescent="0.25">
      <c r="A774" s="68"/>
      <c r="B774" s="68"/>
      <c r="C774" s="71"/>
      <c r="D774" s="68"/>
      <c r="E774" s="68"/>
      <c r="F774" s="68"/>
      <c r="G774" s="68"/>
      <c r="H774" s="68"/>
      <c r="I774" s="68"/>
      <c r="J774" s="68"/>
      <c r="K774" s="71"/>
      <c r="L774" s="71"/>
      <c r="M774" s="67"/>
      <c r="N774" s="68"/>
      <c r="O774" s="68"/>
      <c r="P774" s="68"/>
      <c r="Q774" s="68"/>
      <c r="R774" s="68"/>
      <c r="S774" s="68"/>
      <c r="T774" s="68"/>
      <c r="U774" s="68"/>
      <c r="V774" s="68"/>
      <c r="W774" s="68"/>
    </row>
    <row r="775" spans="1:23" s="56" customFormat="1" x14ac:dyDescent="0.25">
      <c r="A775" s="68"/>
      <c r="B775" s="68"/>
      <c r="C775" s="71"/>
      <c r="D775" s="68"/>
      <c r="E775" s="68"/>
      <c r="F775" s="68"/>
      <c r="G775" s="68"/>
      <c r="H775" s="68"/>
      <c r="I775" s="68"/>
      <c r="J775" s="68"/>
      <c r="K775" s="71"/>
      <c r="L775" s="71"/>
      <c r="M775" s="67"/>
      <c r="N775" s="68"/>
      <c r="O775" s="68"/>
      <c r="P775" s="68"/>
      <c r="Q775" s="68"/>
      <c r="R775" s="68"/>
      <c r="S775" s="68"/>
      <c r="T775" s="68"/>
      <c r="U775" s="68"/>
      <c r="V775" s="68"/>
      <c r="W775" s="68"/>
    </row>
    <row r="776" spans="1:23" s="56" customFormat="1" x14ac:dyDescent="0.25">
      <c r="A776" s="68"/>
      <c r="B776" s="68"/>
      <c r="C776" s="71"/>
      <c r="D776" s="68"/>
      <c r="E776" s="68"/>
      <c r="F776" s="68"/>
      <c r="G776" s="68"/>
      <c r="H776" s="68"/>
      <c r="I776" s="68"/>
      <c r="J776" s="68"/>
      <c r="K776" s="71"/>
      <c r="L776" s="71"/>
      <c r="M776" s="67"/>
      <c r="N776" s="68"/>
      <c r="O776" s="68"/>
      <c r="P776" s="68"/>
      <c r="Q776" s="68"/>
      <c r="R776" s="68"/>
      <c r="S776" s="68"/>
      <c r="T776" s="68"/>
      <c r="U776" s="68"/>
      <c r="V776" s="68"/>
      <c r="W776" s="68"/>
    </row>
    <row r="777" spans="1:23" s="56" customFormat="1" x14ac:dyDescent="0.25">
      <c r="A777" s="68"/>
      <c r="B777" s="68"/>
      <c r="C777" s="71"/>
      <c r="D777" s="68"/>
      <c r="E777" s="68"/>
      <c r="F777" s="68"/>
      <c r="G777" s="68"/>
      <c r="H777" s="68"/>
      <c r="I777" s="68"/>
      <c r="J777" s="68"/>
      <c r="K777" s="71"/>
      <c r="L777" s="71"/>
      <c r="M777" s="67"/>
      <c r="N777" s="68"/>
      <c r="O777" s="68"/>
      <c r="P777" s="68"/>
      <c r="Q777" s="68"/>
      <c r="R777" s="68"/>
      <c r="S777" s="68"/>
      <c r="T777" s="68"/>
      <c r="U777" s="68"/>
      <c r="V777" s="68"/>
      <c r="W777" s="68"/>
    </row>
    <row r="778" spans="1:23" s="56" customFormat="1" x14ac:dyDescent="0.25">
      <c r="A778" s="68"/>
      <c r="B778" s="68"/>
      <c r="C778" s="71"/>
      <c r="D778" s="68"/>
      <c r="E778" s="68"/>
      <c r="F778" s="68"/>
      <c r="G778" s="68"/>
      <c r="H778" s="68"/>
      <c r="I778" s="68"/>
      <c r="J778" s="68"/>
      <c r="K778" s="71"/>
      <c r="L778" s="71"/>
      <c r="M778" s="67"/>
      <c r="N778" s="68"/>
      <c r="O778" s="68"/>
      <c r="P778" s="68"/>
      <c r="Q778" s="68"/>
      <c r="R778" s="68"/>
      <c r="S778" s="68"/>
      <c r="T778" s="68"/>
      <c r="U778" s="68"/>
      <c r="V778" s="68"/>
      <c r="W778" s="68"/>
    </row>
    <row r="779" spans="1:23" s="56" customFormat="1" x14ac:dyDescent="0.25">
      <c r="A779" s="68"/>
      <c r="B779" s="68"/>
      <c r="C779" s="71"/>
      <c r="D779" s="68"/>
      <c r="E779" s="68"/>
      <c r="F779" s="68"/>
      <c r="G779" s="68"/>
      <c r="H779" s="68"/>
      <c r="I779" s="68"/>
      <c r="J779" s="68"/>
      <c r="K779" s="71"/>
      <c r="L779" s="71"/>
      <c r="M779" s="67"/>
      <c r="N779" s="68"/>
      <c r="O779" s="68"/>
      <c r="P779" s="68"/>
      <c r="Q779" s="68"/>
      <c r="R779" s="68"/>
      <c r="S779" s="68"/>
      <c r="T779" s="68"/>
      <c r="U779" s="68"/>
      <c r="V779" s="68"/>
      <c r="W779" s="68"/>
    </row>
    <row r="780" spans="1:23" s="56" customFormat="1" x14ac:dyDescent="0.25">
      <c r="A780" s="68"/>
      <c r="B780" s="68"/>
      <c r="C780" s="71"/>
      <c r="D780" s="68"/>
      <c r="E780" s="68"/>
      <c r="F780" s="68"/>
      <c r="G780" s="68"/>
      <c r="H780" s="68"/>
      <c r="I780" s="68"/>
      <c r="J780" s="68"/>
      <c r="K780" s="71"/>
      <c r="L780" s="71"/>
      <c r="M780" s="67"/>
      <c r="N780" s="68"/>
      <c r="O780" s="68"/>
      <c r="P780" s="68"/>
      <c r="Q780" s="68"/>
      <c r="R780" s="68"/>
      <c r="S780" s="68"/>
      <c r="T780" s="68"/>
      <c r="U780" s="68"/>
      <c r="V780" s="68"/>
      <c r="W780" s="68"/>
    </row>
    <row r="781" spans="1:23" s="56" customFormat="1" x14ac:dyDescent="0.25">
      <c r="A781" s="68"/>
      <c r="B781" s="68"/>
      <c r="C781" s="71"/>
      <c r="D781" s="68"/>
      <c r="E781" s="68"/>
      <c r="F781" s="68"/>
      <c r="G781" s="68"/>
      <c r="H781" s="68"/>
      <c r="I781" s="68"/>
      <c r="J781" s="68"/>
      <c r="K781" s="71"/>
      <c r="L781" s="71"/>
      <c r="M781" s="67"/>
      <c r="N781" s="68"/>
      <c r="O781" s="68"/>
      <c r="P781" s="68"/>
      <c r="Q781" s="68"/>
      <c r="R781" s="68"/>
      <c r="S781" s="68"/>
      <c r="T781" s="68"/>
      <c r="U781" s="68"/>
      <c r="V781" s="68"/>
      <c r="W781" s="68"/>
    </row>
    <row r="782" spans="1:23" s="56" customFormat="1" x14ac:dyDescent="0.25">
      <c r="A782" s="68"/>
      <c r="B782" s="68"/>
      <c r="C782" s="71"/>
      <c r="D782" s="68"/>
      <c r="E782" s="68"/>
      <c r="F782" s="68"/>
      <c r="G782" s="68"/>
      <c r="H782" s="68"/>
      <c r="I782" s="68"/>
      <c r="J782" s="68"/>
      <c r="K782" s="71"/>
      <c r="L782" s="71"/>
      <c r="M782" s="67"/>
      <c r="N782" s="68"/>
      <c r="O782" s="68"/>
      <c r="P782" s="68"/>
      <c r="Q782" s="68"/>
      <c r="R782" s="68"/>
      <c r="S782" s="68"/>
      <c r="T782" s="68"/>
      <c r="U782" s="68"/>
      <c r="V782" s="68"/>
      <c r="W782" s="68"/>
    </row>
    <row r="783" spans="1:23" s="56" customFormat="1" x14ac:dyDescent="0.25">
      <c r="A783" s="68"/>
      <c r="B783" s="68"/>
      <c r="C783" s="71"/>
      <c r="D783" s="68"/>
      <c r="E783" s="68"/>
      <c r="F783" s="68"/>
      <c r="G783" s="68"/>
      <c r="H783" s="68"/>
      <c r="I783" s="68"/>
      <c r="J783" s="68"/>
      <c r="K783" s="71"/>
      <c r="L783" s="71"/>
      <c r="M783" s="67"/>
      <c r="N783" s="68"/>
      <c r="O783" s="68"/>
      <c r="P783" s="68"/>
      <c r="Q783" s="68"/>
      <c r="R783" s="68"/>
      <c r="S783" s="68"/>
      <c r="T783" s="68"/>
      <c r="U783" s="68"/>
      <c r="V783" s="68"/>
      <c r="W783" s="68"/>
    </row>
    <row r="784" spans="1:23" s="56" customFormat="1" x14ac:dyDescent="0.25">
      <c r="A784" s="68"/>
      <c r="B784" s="68"/>
      <c r="C784" s="71"/>
      <c r="D784" s="68"/>
      <c r="E784" s="68"/>
      <c r="F784" s="68"/>
      <c r="G784" s="68"/>
      <c r="H784" s="68"/>
      <c r="I784" s="68"/>
      <c r="J784" s="68"/>
      <c r="K784" s="71"/>
      <c r="L784" s="71"/>
      <c r="M784" s="67"/>
      <c r="N784" s="68"/>
      <c r="O784" s="68"/>
      <c r="P784" s="68"/>
      <c r="Q784" s="68"/>
      <c r="R784" s="68"/>
      <c r="S784" s="68"/>
      <c r="T784" s="68"/>
      <c r="U784" s="68"/>
      <c r="V784" s="68"/>
      <c r="W784" s="68"/>
    </row>
    <row r="785" spans="1:23" s="56" customFormat="1" x14ac:dyDescent="0.25">
      <c r="A785" s="68"/>
      <c r="B785" s="68"/>
      <c r="C785" s="71"/>
      <c r="D785" s="68"/>
      <c r="E785" s="68"/>
      <c r="F785" s="68"/>
      <c r="G785" s="68"/>
      <c r="H785" s="68"/>
      <c r="I785" s="68"/>
      <c r="J785" s="68"/>
      <c r="K785" s="71"/>
      <c r="L785" s="71"/>
      <c r="M785" s="67"/>
      <c r="N785" s="68"/>
      <c r="O785" s="68"/>
      <c r="P785" s="68"/>
      <c r="Q785" s="68"/>
      <c r="R785" s="68"/>
      <c r="S785" s="68"/>
      <c r="T785" s="68"/>
      <c r="U785" s="68"/>
      <c r="V785" s="68"/>
      <c r="W785" s="68"/>
    </row>
    <row r="786" spans="1:23" s="56" customFormat="1" x14ac:dyDescent="0.25">
      <c r="A786" s="68"/>
      <c r="B786" s="68"/>
      <c r="C786" s="71"/>
      <c r="D786" s="68"/>
      <c r="E786" s="68"/>
      <c r="F786" s="68"/>
      <c r="G786" s="68"/>
      <c r="H786" s="68"/>
      <c r="I786" s="68"/>
      <c r="J786" s="68"/>
      <c r="K786" s="71"/>
      <c r="L786" s="71"/>
      <c r="M786" s="67"/>
      <c r="N786" s="68"/>
      <c r="O786" s="68"/>
      <c r="P786" s="68"/>
      <c r="Q786" s="68"/>
      <c r="R786" s="68"/>
      <c r="S786" s="68"/>
      <c r="T786" s="68"/>
      <c r="U786" s="68"/>
      <c r="V786" s="68"/>
      <c r="W786" s="68"/>
    </row>
    <row r="787" spans="1:23" s="56" customFormat="1" x14ac:dyDescent="0.25">
      <c r="A787" s="68"/>
      <c r="B787" s="68"/>
      <c r="C787" s="71"/>
      <c r="D787" s="68"/>
      <c r="E787" s="68"/>
      <c r="F787" s="68"/>
      <c r="G787" s="68"/>
      <c r="H787" s="68"/>
      <c r="I787" s="68"/>
      <c r="J787" s="68"/>
      <c r="K787" s="71"/>
      <c r="L787" s="71"/>
      <c r="M787" s="67"/>
      <c r="N787" s="68"/>
      <c r="O787" s="68"/>
      <c r="P787" s="68"/>
      <c r="Q787" s="68"/>
      <c r="R787" s="68"/>
      <c r="S787" s="68"/>
      <c r="T787" s="68"/>
      <c r="U787" s="68"/>
      <c r="V787" s="68"/>
      <c r="W787" s="68"/>
    </row>
    <row r="788" spans="1:23" s="56" customFormat="1" x14ac:dyDescent="0.25">
      <c r="A788" s="68"/>
      <c r="B788" s="68"/>
      <c r="C788" s="71"/>
      <c r="D788" s="68"/>
      <c r="E788" s="68"/>
      <c r="F788" s="68"/>
      <c r="G788" s="68"/>
      <c r="H788" s="68"/>
      <c r="I788" s="68"/>
      <c r="J788" s="68"/>
      <c r="K788" s="71"/>
      <c r="L788" s="71"/>
      <c r="M788" s="67"/>
      <c r="N788" s="68"/>
      <c r="O788" s="68"/>
      <c r="P788" s="68"/>
      <c r="Q788" s="68"/>
      <c r="R788" s="68"/>
      <c r="S788" s="68"/>
      <c r="T788" s="68"/>
      <c r="U788" s="68"/>
      <c r="V788" s="68"/>
      <c r="W788" s="68"/>
    </row>
    <row r="789" spans="1:23" s="56" customFormat="1" x14ac:dyDescent="0.25">
      <c r="A789" s="68"/>
      <c r="B789" s="68"/>
      <c r="C789" s="71"/>
      <c r="D789" s="68"/>
      <c r="E789" s="68"/>
      <c r="F789" s="68"/>
      <c r="G789" s="68"/>
      <c r="H789" s="68"/>
      <c r="I789" s="68"/>
      <c r="J789" s="68"/>
      <c r="K789" s="71"/>
      <c r="L789" s="71"/>
      <c r="M789" s="67"/>
      <c r="N789" s="68"/>
      <c r="O789" s="68"/>
      <c r="P789" s="68"/>
      <c r="Q789" s="68"/>
      <c r="R789" s="68"/>
      <c r="S789" s="68"/>
      <c r="T789" s="68"/>
      <c r="U789" s="68"/>
      <c r="V789" s="68"/>
      <c r="W789" s="68"/>
    </row>
    <row r="790" spans="1:23" s="56" customFormat="1" x14ac:dyDescent="0.25">
      <c r="A790" s="68"/>
      <c r="B790" s="68"/>
      <c r="C790" s="71"/>
      <c r="D790" s="68"/>
      <c r="E790" s="68"/>
      <c r="F790" s="68"/>
      <c r="G790" s="68"/>
      <c r="H790" s="68"/>
      <c r="I790" s="68"/>
      <c r="J790" s="68"/>
      <c r="K790" s="71"/>
      <c r="L790" s="71"/>
      <c r="M790" s="67"/>
      <c r="N790" s="68"/>
      <c r="O790" s="68"/>
      <c r="P790" s="68"/>
      <c r="Q790" s="68"/>
      <c r="R790" s="68"/>
      <c r="S790" s="68"/>
      <c r="T790" s="68"/>
      <c r="U790" s="68"/>
      <c r="V790" s="68"/>
      <c r="W790" s="68"/>
    </row>
    <row r="791" spans="1:23" s="56" customFormat="1" x14ac:dyDescent="0.25">
      <c r="A791" s="68"/>
      <c r="B791" s="68"/>
      <c r="C791" s="71"/>
      <c r="D791" s="68"/>
      <c r="E791" s="68"/>
      <c r="F791" s="68"/>
      <c r="G791" s="68"/>
      <c r="H791" s="68"/>
      <c r="I791" s="68"/>
      <c r="J791" s="68"/>
      <c r="K791" s="71"/>
      <c r="L791" s="71"/>
      <c r="M791" s="67"/>
      <c r="N791" s="68"/>
      <c r="O791" s="68"/>
      <c r="P791" s="68"/>
      <c r="Q791" s="68"/>
      <c r="R791" s="68"/>
      <c r="S791" s="68"/>
      <c r="T791" s="68"/>
      <c r="U791" s="68"/>
      <c r="V791" s="68"/>
      <c r="W791" s="68"/>
    </row>
    <row r="792" spans="1:23" s="56" customFormat="1" x14ac:dyDescent="0.25">
      <c r="A792" s="68"/>
      <c r="B792" s="68"/>
      <c r="C792" s="71"/>
      <c r="D792" s="68"/>
      <c r="E792" s="68"/>
      <c r="F792" s="68"/>
      <c r="G792" s="68"/>
      <c r="H792" s="68"/>
      <c r="I792" s="68"/>
      <c r="J792" s="68"/>
      <c r="K792" s="71"/>
      <c r="L792" s="71"/>
      <c r="M792" s="67"/>
      <c r="N792" s="68"/>
      <c r="O792" s="68"/>
      <c r="P792" s="68"/>
      <c r="Q792" s="68"/>
      <c r="R792" s="68"/>
      <c r="S792" s="68"/>
      <c r="T792" s="68"/>
      <c r="U792" s="68"/>
      <c r="V792" s="68"/>
      <c r="W792" s="68"/>
    </row>
    <row r="793" spans="1:23" x14ac:dyDescent="0.25">
      <c r="C793" s="71"/>
      <c r="K793" s="71"/>
      <c r="L793" s="71"/>
      <c r="M793" s="67"/>
    </row>
    <row r="794" spans="1:23" x14ac:dyDescent="0.25">
      <c r="C794" s="71"/>
      <c r="K794" s="71"/>
      <c r="L794" s="71"/>
      <c r="M794" s="67"/>
    </row>
    <row r="795" spans="1:23" x14ac:dyDescent="0.25">
      <c r="C795" s="71"/>
      <c r="K795" s="71"/>
      <c r="L795" s="71"/>
      <c r="M795" s="67"/>
    </row>
    <row r="796" spans="1:23" x14ac:dyDescent="0.25">
      <c r="C796" s="71"/>
      <c r="K796" s="71"/>
      <c r="L796" s="71"/>
      <c r="M796" s="67"/>
    </row>
    <row r="797" spans="1:23" x14ac:dyDescent="0.25">
      <c r="C797" s="71"/>
      <c r="K797" s="71"/>
      <c r="L797" s="71"/>
      <c r="M797" s="67"/>
    </row>
    <row r="798" spans="1:23" x14ac:dyDescent="0.25">
      <c r="C798" s="71"/>
      <c r="K798" s="71"/>
      <c r="L798" s="71"/>
      <c r="M798" s="67"/>
    </row>
    <row r="799" spans="1:23" x14ac:dyDescent="0.25">
      <c r="C799" s="71"/>
      <c r="K799" s="71"/>
      <c r="L799" s="71"/>
      <c r="M799" s="67"/>
    </row>
    <row r="800" spans="1:23" x14ac:dyDescent="0.25">
      <c r="C800" s="71"/>
      <c r="K800" s="71"/>
      <c r="L800" s="71"/>
      <c r="M800" s="67"/>
    </row>
    <row r="801" spans="2:13" x14ac:dyDescent="0.25">
      <c r="C801" s="71"/>
      <c r="K801" s="71"/>
      <c r="L801" s="71"/>
      <c r="M801" s="67"/>
    </row>
    <row r="802" spans="2:13" x14ac:dyDescent="0.25">
      <c r="C802" s="71"/>
      <c r="K802" s="71"/>
      <c r="L802" s="71"/>
      <c r="M802" s="67"/>
    </row>
    <row r="803" spans="2:13" x14ac:dyDescent="0.25">
      <c r="C803" s="71"/>
      <c r="K803" s="71"/>
      <c r="L803" s="71"/>
      <c r="M803" s="67"/>
    </row>
    <row r="804" spans="2:13" x14ac:dyDescent="0.25">
      <c r="C804" s="71"/>
      <c r="K804" s="71"/>
      <c r="L804" s="71"/>
      <c r="M804" s="67"/>
    </row>
    <row r="805" spans="2:13" x14ac:dyDescent="0.25">
      <c r="C805" s="69"/>
      <c r="K805" s="69"/>
      <c r="L805" s="69"/>
      <c r="M805" s="67"/>
    </row>
    <row r="806" spans="2:13" x14ac:dyDescent="0.25">
      <c r="C806" s="69"/>
      <c r="K806" s="69"/>
      <c r="L806" s="69"/>
      <c r="M806" s="67"/>
    </row>
    <row r="807" spans="2:13" x14ac:dyDescent="0.25">
      <c r="C807" s="69"/>
      <c r="K807" s="69"/>
      <c r="L807" s="69"/>
      <c r="M807" s="67"/>
    </row>
    <row r="808" spans="2:13" x14ac:dyDescent="0.25">
      <c r="C808" s="69"/>
      <c r="K808" s="69"/>
      <c r="L808" s="69"/>
      <c r="M808" s="67"/>
    </row>
    <row r="809" spans="2:13" x14ac:dyDescent="0.25">
      <c r="C809" s="69"/>
      <c r="K809" s="69"/>
      <c r="L809" s="69"/>
      <c r="M809" s="67"/>
    </row>
    <row r="810" spans="2:13" x14ac:dyDescent="0.25">
      <c r="C810" s="69"/>
      <c r="K810" s="69"/>
      <c r="L810" s="69"/>
      <c r="M810" s="67"/>
    </row>
    <row r="811" spans="2:13" x14ac:dyDescent="0.25">
      <c r="C811" s="69"/>
      <c r="K811" s="69"/>
      <c r="L811" s="69"/>
      <c r="M811" s="67"/>
    </row>
    <row r="812" spans="2:13" x14ac:dyDescent="0.25">
      <c r="C812" s="69"/>
      <c r="K812" s="69"/>
      <c r="L812" s="69"/>
      <c r="M812" s="67"/>
    </row>
    <row r="813" spans="2:13" x14ac:dyDescent="0.25">
      <c r="C813" s="69"/>
      <c r="K813" s="69"/>
      <c r="L813" s="69"/>
      <c r="M813" s="67"/>
    </row>
    <row r="814" spans="2:13" x14ac:dyDescent="0.25">
      <c r="B814" s="63"/>
      <c r="C814" s="71"/>
      <c r="K814" s="69"/>
      <c r="L814" s="69"/>
      <c r="M814" s="67"/>
    </row>
    <row r="815" spans="2:13" x14ac:dyDescent="0.25">
      <c r="B815" s="63"/>
      <c r="C815" s="69"/>
      <c r="K815" s="69"/>
      <c r="L815" s="69"/>
      <c r="M815" s="67"/>
    </row>
    <row r="816" spans="2:13" x14ac:dyDescent="0.25">
      <c r="B816" s="63"/>
      <c r="C816" s="69"/>
      <c r="K816" s="69"/>
      <c r="L816" s="69"/>
      <c r="M816" s="67"/>
    </row>
    <row r="817" spans="3:13" x14ac:dyDescent="0.25">
      <c r="C817" s="69"/>
      <c r="K817" s="69"/>
      <c r="L817" s="69"/>
      <c r="M817" s="67"/>
    </row>
    <row r="818" spans="3:13" x14ac:dyDescent="0.25">
      <c r="C818" s="69"/>
      <c r="K818" s="69"/>
      <c r="L818" s="69"/>
      <c r="M818" s="67"/>
    </row>
    <row r="819" spans="3:13" x14ac:dyDescent="0.25">
      <c r="C819" s="69"/>
      <c r="K819" s="69"/>
      <c r="L819" s="69"/>
      <c r="M819" s="67"/>
    </row>
    <row r="820" spans="3:13" x14ac:dyDescent="0.25">
      <c r="C820" s="69"/>
      <c r="K820" s="69"/>
      <c r="L820" s="69"/>
      <c r="M820" s="67"/>
    </row>
    <row r="821" spans="3:13" x14ac:dyDescent="0.25">
      <c r="C821" s="69"/>
      <c r="K821" s="69"/>
      <c r="L821" s="69"/>
      <c r="M821" s="67"/>
    </row>
    <row r="822" spans="3:13" x14ac:dyDescent="0.25">
      <c r="C822" s="69"/>
      <c r="K822" s="69"/>
      <c r="L822" s="69"/>
      <c r="M822" s="67"/>
    </row>
    <row r="823" spans="3:13" x14ac:dyDescent="0.25">
      <c r="C823" s="69"/>
      <c r="K823" s="69"/>
      <c r="L823" s="69"/>
      <c r="M823" s="67"/>
    </row>
    <row r="824" spans="3:13" x14ac:dyDescent="0.25">
      <c r="C824" s="69"/>
      <c r="K824" s="69"/>
      <c r="L824" s="69"/>
      <c r="M824" s="67"/>
    </row>
    <row r="825" spans="3:13" x14ac:dyDescent="0.25">
      <c r="C825" s="69"/>
      <c r="K825" s="69"/>
      <c r="L825" s="69"/>
      <c r="M825" s="67"/>
    </row>
    <row r="826" spans="3:13" x14ac:dyDescent="0.25">
      <c r="C826" s="69"/>
      <c r="K826" s="69"/>
      <c r="L826" s="69"/>
      <c r="M826" s="67"/>
    </row>
    <row r="827" spans="3:13" x14ac:dyDescent="0.25">
      <c r="C827" s="69"/>
      <c r="K827" s="69"/>
      <c r="L827" s="69"/>
      <c r="M827" s="67"/>
    </row>
    <row r="828" spans="3:13" x14ac:dyDescent="0.25">
      <c r="C828" s="69"/>
      <c r="K828" s="69"/>
      <c r="L828" s="69"/>
      <c r="M828" s="67"/>
    </row>
    <row r="829" spans="3:13" x14ac:dyDescent="0.25">
      <c r="C829" s="69"/>
      <c r="K829" s="69"/>
      <c r="L829" s="69"/>
      <c r="M829" s="67"/>
    </row>
    <row r="830" spans="3:13" x14ac:dyDescent="0.25">
      <c r="C830" s="69"/>
      <c r="K830" s="69"/>
      <c r="L830" s="69"/>
      <c r="M830" s="67"/>
    </row>
    <row r="831" spans="3:13" x14ac:dyDescent="0.25">
      <c r="C831" s="69"/>
      <c r="K831" s="69"/>
      <c r="L831" s="69"/>
      <c r="M831" s="67"/>
    </row>
    <row r="832" spans="3:13" x14ac:dyDescent="0.25">
      <c r="C832" s="69"/>
      <c r="K832" s="69"/>
      <c r="L832" s="69"/>
      <c r="M832" s="67"/>
    </row>
    <row r="833" spans="3:13" x14ac:dyDescent="0.25">
      <c r="C833" s="69"/>
      <c r="K833" s="69"/>
      <c r="L833" s="69"/>
      <c r="M833" s="67"/>
    </row>
    <row r="834" spans="3:13" x14ac:dyDescent="0.25">
      <c r="C834" s="69"/>
      <c r="K834" s="69"/>
      <c r="L834" s="69"/>
      <c r="M834" s="67"/>
    </row>
    <row r="835" spans="3:13" x14ac:dyDescent="0.25">
      <c r="C835" s="69"/>
      <c r="K835" s="69"/>
      <c r="L835" s="69"/>
      <c r="M835" s="67"/>
    </row>
    <row r="836" spans="3:13" x14ac:dyDescent="0.25">
      <c r="C836" s="69"/>
      <c r="K836" s="69"/>
      <c r="L836" s="69"/>
      <c r="M836" s="67"/>
    </row>
    <row r="837" spans="3:13" x14ac:dyDescent="0.25">
      <c r="C837" s="69"/>
      <c r="K837" s="69"/>
      <c r="L837" s="69"/>
      <c r="M837" s="67"/>
    </row>
    <row r="838" spans="3:13" x14ac:dyDescent="0.25">
      <c r="C838" s="69"/>
      <c r="K838" s="69"/>
      <c r="L838" s="69"/>
      <c r="M838" s="67"/>
    </row>
    <row r="839" spans="3:13" x14ac:dyDescent="0.25">
      <c r="C839" s="69"/>
      <c r="K839" s="69"/>
      <c r="L839" s="69"/>
      <c r="M839" s="67"/>
    </row>
    <row r="840" spans="3:13" x14ac:dyDescent="0.25">
      <c r="C840" s="69"/>
      <c r="K840" s="69"/>
      <c r="L840" s="69"/>
      <c r="M840" s="67"/>
    </row>
    <row r="841" spans="3:13" x14ac:dyDescent="0.25">
      <c r="C841" s="69"/>
      <c r="K841" s="69"/>
      <c r="L841" s="69"/>
      <c r="M841" s="67"/>
    </row>
    <row r="842" spans="3:13" x14ac:dyDescent="0.25">
      <c r="C842" s="69"/>
      <c r="K842" s="69"/>
      <c r="L842" s="69"/>
      <c r="M842" s="67"/>
    </row>
    <row r="843" spans="3:13" x14ac:dyDescent="0.25">
      <c r="C843" s="69"/>
      <c r="K843" s="69"/>
      <c r="L843" s="69"/>
      <c r="M843" s="67"/>
    </row>
    <row r="844" spans="3:13" x14ac:dyDescent="0.25">
      <c r="C844" s="69"/>
      <c r="K844" s="69"/>
      <c r="L844" s="69"/>
      <c r="M844" s="67"/>
    </row>
    <row r="845" spans="3:13" x14ac:dyDescent="0.25">
      <c r="C845" s="69"/>
      <c r="K845" s="69"/>
      <c r="L845" s="69"/>
      <c r="M845" s="67"/>
    </row>
    <row r="846" spans="3:13" x14ac:dyDescent="0.25">
      <c r="C846" s="69"/>
      <c r="K846" s="69"/>
      <c r="L846" s="69"/>
      <c r="M846" s="67"/>
    </row>
    <row r="847" spans="3:13" x14ac:dyDescent="0.25">
      <c r="C847" s="69"/>
      <c r="K847" s="69"/>
      <c r="L847" s="69"/>
      <c r="M847" s="67"/>
    </row>
    <row r="848" spans="3:13" x14ac:dyDescent="0.25">
      <c r="C848" s="69"/>
      <c r="K848" s="69"/>
      <c r="L848" s="69"/>
      <c r="M848" s="67"/>
    </row>
    <row r="849" spans="3:13" x14ac:dyDescent="0.25">
      <c r="C849" s="69"/>
      <c r="K849" s="69"/>
      <c r="L849" s="69"/>
      <c r="M849" s="67"/>
    </row>
    <row r="850" spans="3:13" x14ac:dyDescent="0.25">
      <c r="C850" s="69"/>
      <c r="K850" s="69"/>
      <c r="L850" s="69"/>
      <c r="M850" s="67"/>
    </row>
    <row r="851" spans="3:13" x14ac:dyDescent="0.25">
      <c r="C851" s="69"/>
      <c r="K851" s="69"/>
      <c r="L851" s="69"/>
      <c r="M851" s="67"/>
    </row>
    <row r="852" spans="3:13" x14ac:dyDescent="0.25">
      <c r="C852" s="69"/>
      <c r="K852" s="69"/>
      <c r="L852" s="69"/>
      <c r="M852" s="67"/>
    </row>
    <row r="853" spans="3:13" x14ac:dyDescent="0.25">
      <c r="C853" s="69"/>
      <c r="K853" s="69"/>
      <c r="L853" s="69"/>
      <c r="M853" s="67"/>
    </row>
    <row r="854" spans="3:13" x14ac:dyDescent="0.25">
      <c r="C854" s="69"/>
      <c r="K854" s="69"/>
      <c r="L854" s="69"/>
      <c r="M854" s="67"/>
    </row>
    <row r="855" spans="3:13" x14ac:dyDescent="0.25">
      <c r="C855" s="69"/>
      <c r="K855" s="69"/>
      <c r="L855" s="69"/>
      <c r="M855" s="67"/>
    </row>
    <row r="856" spans="3:13" x14ac:dyDescent="0.25">
      <c r="C856" s="69"/>
      <c r="K856" s="69"/>
      <c r="L856" s="69"/>
      <c r="M856" s="67"/>
    </row>
    <row r="857" spans="3:13" x14ac:dyDescent="0.25">
      <c r="C857" s="69"/>
      <c r="K857" s="69"/>
      <c r="L857" s="69"/>
      <c r="M857" s="67"/>
    </row>
    <row r="858" spans="3:13" x14ac:dyDescent="0.25">
      <c r="C858" s="69"/>
      <c r="K858" s="69"/>
      <c r="L858" s="69"/>
      <c r="M858" s="67"/>
    </row>
    <row r="859" spans="3:13" x14ac:dyDescent="0.25">
      <c r="C859" s="69"/>
      <c r="K859" s="69"/>
      <c r="L859" s="69"/>
      <c r="M859" s="67"/>
    </row>
    <row r="860" spans="3:13" x14ac:dyDescent="0.25">
      <c r="C860" s="69"/>
      <c r="K860" s="69"/>
      <c r="L860" s="69"/>
      <c r="M860" s="67"/>
    </row>
    <row r="861" spans="3:13" x14ac:dyDescent="0.25">
      <c r="C861" s="69"/>
      <c r="K861" s="69"/>
      <c r="L861" s="69"/>
      <c r="M861" s="67"/>
    </row>
    <row r="862" spans="3:13" x14ac:dyDescent="0.25">
      <c r="C862" s="69"/>
      <c r="K862" s="69"/>
      <c r="L862" s="69"/>
      <c r="M862" s="67"/>
    </row>
    <row r="863" spans="3:13" x14ac:dyDescent="0.25">
      <c r="C863" s="69"/>
      <c r="K863" s="69"/>
      <c r="L863" s="69"/>
      <c r="M863" s="67"/>
    </row>
    <row r="864" spans="3:13" x14ac:dyDescent="0.25">
      <c r="C864" s="69"/>
      <c r="K864" s="69"/>
      <c r="L864" s="69"/>
      <c r="M864" s="67"/>
    </row>
    <row r="865" spans="3:13" x14ac:dyDescent="0.25">
      <c r="C865" s="69"/>
      <c r="K865" s="69"/>
      <c r="L865" s="69"/>
      <c r="M865" s="67"/>
    </row>
    <row r="866" spans="3:13" x14ac:dyDescent="0.25">
      <c r="C866" s="69"/>
      <c r="K866" s="69"/>
      <c r="L866" s="69"/>
      <c r="M866" s="67"/>
    </row>
    <row r="867" spans="3:13" x14ac:dyDescent="0.25">
      <c r="C867" s="69"/>
      <c r="K867" s="69"/>
      <c r="L867" s="69"/>
      <c r="M867" s="67"/>
    </row>
    <row r="868" spans="3:13" x14ac:dyDescent="0.25">
      <c r="C868" s="69"/>
      <c r="K868" s="69"/>
      <c r="L868" s="69"/>
      <c r="M868" s="67"/>
    </row>
    <row r="869" spans="3:13" x14ac:dyDescent="0.25">
      <c r="C869" s="69"/>
      <c r="K869" s="69"/>
      <c r="L869" s="69"/>
      <c r="M869" s="67"/>
    </row>
    <row r="870" spans="3:13" x14ac:dyDescent="0.25">
      <c r="C870" s="69"/>
      <c r="K870" s="69"/>
      <c r="L870" s="69"/>
      <c r="M870" s="67"/>
    </row>
    <row r="871" spans="3:13" x14ac:dyDescent="0.25">
      <c r="C871" s="69"/>
      <c r="K871" s="69"/>
      <c r="L871" s="69"/>
      <c r="M871" s="67"/>
    </row>
    <row r="872" spans="3:13" x14ac:dyDescent="0.25">
      <c r="C872" s="69"/>
      <c r="K872" s="69"/>
      <c r="L872" s="69"/>
      <c r="M872" s="67"/>
    </row>
    <row r="873" spans="3:13" x14ac:dyDescent="0.25">
      <c r="C873" s="69"/>
      <c r="K873" s="69"/>
      <c r="L873" s="69"/>
      <c r="M873" s="67"/>
    </row>
    <row r="874" spans="3:13" x14ac:dyDescent="0.25">
      <c r="C874" s="69"/>
      <c r="K874" s="69"/>
      <c r="L874" s="69"/>
      <c r="M874" s="67"/>
    </row>
    <row r="875" spans="3:13" x14ac:dyDescent="0.25">
      <c r="C875" s="69"/>
      <c r="K875" s="69"/>
      <c r="L875" s="69"/>
      <c r="M875" s="67"/>
    </row>
    <row r="876" spans="3:13" x14ac:dyDescent="0.25">
      <c r="C876" s="69"/>
      <c r="K876" s="69"/>
      <c r="L876" s="69"/>
      <c r="M876" s="67"/>
    </row>
    <row r="877" spans="3:13" x14ac:dyDescent="0.25">
      <c r="C877" s="69"/>
      <c r="K877" s="69"/>
      <c r="L877" s="69"/>
      <c r="M877" s="67"/>
    </row>
    <row r="878" spans="3:13" x14ac:dyDescent="0.25">
      <c r="C878" s="69"/>
      <c r="K878" s="69"/>
      <c r="L878" s="69"/>
      <c r="M878" s="67"/>
    </row>
    <row r="879" spans="3:13" x14ac:dyDescent="0.25">
      <c r="C879" s="69"/>
      <c r="K879" s="69"/>
      <c r="L879" s="69"/>
      <c r="M879" s="67"/>
    </row>
    <row r="880" spans="3:13" x14ac:dyDescent="0.25">
      <c r="C880" s="69"/>
      <c r="K880" s="69"/>
      <c r="L880" s="69"/>
      <c r="M880" s="67"/>
    </row>
    <row r="881" spans="3:13" x14ac:dyDescent="0.25">
      <c r="C881" s="69"/>
      <c r="K881" s="69"/>
      <c r="L881" s="69"/>
      <c r="M881" s="67"/>
    </row>
    <row r="882" spans="3:13" x14ac:dyDescent="0.25">
      <c r="C882" s="69"/>
      <c r="K882" s="69"/>
      <c r="L882" s="69"/>
      <c r="M882" s="67"/>
    </row>
    <row r="883" spans="3:13" x14ac:dyDescent="0.25">
      <c r="C883" s="69"/>
      <c r="K883" s="69"/>
      <c r="L883" s="69"/>
      <c r="M883" s="67"/>
    </row>
    <row r="884" spans="3:13" x14ac:dyDescent="0.25">
      <c r="C884" s="69"/>
      <c r="K884" s="69"/>
      <c r="L884" s="69"/>
      <c r="M884" s="67"/>
    </row>
    <row r="885" spans="3:13" x14ac:dyDescent="0.25">
      <c r="C885" s="69"/>
      <c r="K885" s="69"/>
      <c r="L885" s="69"/>
      <c r="M885" s="67"/>
    </row>
    <row r="886" spans="3:13" x14ac:dyDescent="0.25">
      <c r="C886" s="69"/>
      <c r="K886" s="69"/>
      <c r="L886" s="69"/>
      <c r="M886" s="67"/>
    </row>
    <row r="887" spans="3:13" x14ac:dyDescent="0.25">
      <c r="C887" s="69"/>
      <c r="K887" s="69"/>
      <c r="L887" s="69"/>
      <c r="M887" s="67"/>
    </row>
    <row r="888" spans="3:13" x14ac:dyDescent="0.25">
      <c r="C888" s="69"/>
      <c r="K888" s="69"/>
      <c r="L888" s="69"/>
      <c r="M888" s="67"/>
    </row>
    <row r="889" spans="3:13" x14ac:dyDescent="0.25">
      <c r="C889" s="69"/>
      <c r="K889" s="69"/>
      <c r="L889" s="69"/>
      <c r="M889" s="67"/>
    </row>
    <row r="890" spans="3:13" x14ac:dyDescent="0.25">
      <c r="C890" s="69"/>
      <c r="K890" s="69"/>
      <c r="L890" s="69"/>
      <c r="M890" s="67"/>
    </row>
    <row r="891" spans="3:13" x14ac:dyDescent="0.25">
      <c r="C891" s="69"/>
      <c r="K891" s="69"/>
      <c r="L891" s="69"/>
      <c r="M891" s="67"/>
    </row>
    <row r="892" spans="3:13" x14ac:dyDescent="0.25">
      <c r="C892" s="69"/>
      <c r="K892" s="69"/>
      <c r="L892" s="69"/>
      <c r="M892" s="67"/>
    </row>
    <row r="893" spans="3:13" x14ac:dyDescent="0.25">
      <c r="C893" s="69"/>
      <c r="K893" s="69"/>
      <c r="L893" s="69"/>
      <c r="M893" s="67"/>
    </row>
    <row r="894" spans="3:13" x14ac:dyDescent="0.25">
      <c r="C894" s="69"/>
      <c r="K894" s="69"/>
      <c r="L894" s="69"/>
      <c r="M894" s="67"/>
    </row>
    <row r="895" spans="3:13" x14ac:dyDescent="0.25">
      <c r="C895" s="69"/>
      <c r="K895" s="69"/>
      <c r="L895" s="69"/>
      <c r="M895" s="67"/>
    </row>
    <row r="896" spans="3:13" x14ac:dyDescent="0.25">
      <c r="C896" s="69"/>
      <c r="K896" s="69"/>
      <c r="L896" s="69"/>
      <c r="M896" s="67"/>
    </row>
    <row r="897" spans="3:13" x14ac:dyDescent="0.25">
      <c r="C897" s="69"/>
      <c r="K897" s="69"/>
      <c r="L897" s="69"/>
      <c r="M897" s="67"/>
    </row>
    <row r="898" spans="3:13" x14ac:dyDescent="0.25">
      <c r="C898" s="69"/>
      <c r="K898" s="69"/>
      <c r="L898" s="69"/>
      <c r="M898" s="67"/>
    </row>
    <row r="899" spans="3:13" x14ac:dyDescent="0.25">
      <c r="C899" s="69"/>
      <c r="K899" s="69"/>
      <c r="L899" s="69"/>
      <c r="M899" s="67"/>
    </row>
    <row r="900" spans="3:13" x14ac:dyDescent="0.25">
      <c r="C900" s="69"/>
      <c r="K900" s="69"/>
      <c r="L900" s="69"/>
      <c r="M900" s="67"/>
    </row>
    <row r="901" spans="3:13" x14ac:dyDescent="0.25">
      <c r="C901" s="69"/>
      <c r="K901" s="69"/>
      <c r="L901" s="69"/>
      <c r="M901" s="67"/>
    </row>
    <row r="902" spans="3:13" x14ac:dyDescent="0.25">
      <c r="C902" s="69"/>
      <c r="K902" s="69"/>
      <c r="L902" s="69"/>
      <c r="M902" s="67"/>
    </row>
    <row r="903" spans="3:13" x14ac:dyDescent="0.25">
      <c r="C903" s="69"/>
      <c r="K903" s="69"/>
      <c r="L903" s="69"/>
      <c r="M903" s="67"/>
    </row>
    <row r="904" spans="3:13" x14ac:dyDescent="0.25">
      <c r="C904" s="69"/>
      <c r="K904" s="69"/>
      <c r="L904" s="69"/>
      <c r="M904" s="67"/>
    </row>
    <row r="905" spans="3:13" x14ac:dyDescent="0.25">
      <c r="C905" s="69"/>
      <c r="K905" s="69"/>
      <c r="L905" s="69"/>
      <c r="M905" s="67"/>
    </row>
    <row r="906" spans="3:13" x14ac:dyDescent="0.25">
      <c r="C906" s="69"/>
      <c r="K906" s="69"/>
      <c r="L906" s="69"/>
      <c r="M906" s="67"/>
    </row>
    <row r="907" spans="3:13" x14ac:dyDescent="0.25">
      <c r="C907" s="69"/>
      <c r="K907" s="69"/>
      <c r="L907" s="69"/>
      <c r="M907" s="67"/>
    </row>
    <row r="908" spans="3:13" x14ac:dyDescent="0.25">
      <c r="C908" s="69"/>
      <c r="K908" s="69"/>
      <c r="L908" s="69"/>
      <c r="M908" s="67"/>
    </row>
    <row r="909" spans="3:13" x14ac:dyDescent="0.25">
      <c r="C909" s="69"/>
      <c r="K909" s="69"/>
      <c r="L909" s="69"/>
      <c r="M909" s="67"/>
    </row>
    <row r="910" spans="3:13" x14ac:dyDescent="0.25">
      <c r="C910" s="69"/>
      <c r="K910" s="69"/>
      <c r="L910" s="69"/>
      <c r="M910" s="67"/>
    </row>
    <row r="911" spans="3:13" x14ac:dyDescent="0.25">
      <c r="C911" s="69"/>
      <c r="K911" s="69"/>
      <c r="L911" s="69"/>
      <c r="M911" s="67"/>
    </row>
    <row r="912" spans="3:13" x14ac:dyDescent="0.25">
      <c r="C912" s="69"/>
      <c r="K912" s="69"/>
      <c r="L912" s="69"/>
      <c r="M912" s="67"/>
    </row>
    <row r="913" spans="3:21" x14ac:dyDescent="0.25">
      <c r="C913" s="69"/>
      <c r="K913" s="69"/>
      <c r="L913" s="69"/>
      <c r="M913" s="67"/>
    </row>
    <row r="914" spans="3:21" x14ac:dyDescent="0.25">
      <c r="C914" s="69"/>
      <c r="K914" s="69"/>
      <c r="L914" s="69"/>
      <c r="M914" s="67"/>
    </row>
    <row r="915" spans="3:21" x14ac:dyDescent="0.25">
      <c r="C915" s="69"/>
      <c r="K915" s="69"/>
      <c r="L915" s="69"/>
      <c r="M915" s="67"/>
    </row>
    <row r="916" spans="3:21" x14ac:dyDescent="0.25">
      <c r="C916" s="69"/>
      <c r="K916" s="69"/>
      <c r="L916" s="69"/>
      <c r="M916" s="67"/>
    </row>
    <row r="917" spans="3:21" x14ac:dyDescent="0.25">
      <c r="C917" s="71"/>
      <c r="K917" s="71"/>
      <c r="L917" s="71"/>
      <c r="M917" s="67"/>
    </row>
    <row r="918" spans="3:21" x14ac:dyDescent="0.25">
      <c r="C918" s="71"/>
      <c r="K918" s="71"/>
      <c r="L918" s="71"/>
      <c r="M918" s="67"/>
    </row>
    <row r="919" spans="3:21" x14ac:dyDescent="0.25">
      <c r="C919" s="71"/>
      <c r="K919" s="71"/>
      <c r="L919" s="71"/>
      <c r="M919" s="67"/>
    </row>
    <row r="920" spans="3:21" x14ac:dyDescent="0.25">
      <c r="C920" s="71"/>
      <c r="K920" s="71"/>
      <c r="L920" s="71"/>
      <c r="M920" s="67"/>
    </row>
    <row r="921" spans="3:21" x14ac:dyDescent="0.25">
      <c r="C921" s="71"/>
      <c r="K921" s="71"/>
      <c r="L921" s="71"/>
      <c r="M921" s="67"/>
    </row>
    <row r="922" spans="3:21" x14ac:dyDescent="0.25">
      <c r="C922" s="71"/>
      <c r="K922" s="71"/>
      <c r="L922" s="71"/>
      <c r="M922" s="67"/>
    </row>
    <row r="923" spans="3:21" x14ac:dyDescent="0.25">
      <c r="C923" s="71"/>
      <c r="K923" s="71"/>
      <c r="L923" s="71"/>
      <c r="M923" s="67"/>
    </row>
    <row r="924" spans="3:21" x14ac:dyDescent="0.25">
      <c r="C924" s="71"/>
      <c r="K924" s="71"/>
      <c r="L924" s="71"/>
      <c r="M924" s="67"/>
    </row>
    <row r="925" spans="3:21" x14ac:dyDescent="0.25">
      <c r="C925" s="71"/>
      <c r="K925" s="71"/>
      <c r="L925" s="71"/>
      <c r="M925" s="67"/>
    </row>
    <row r="926" spans="3:21" x14ac:dyDescent="0.25">
      <c r="C926" s="71"/>
      <c r="K926" s="71"/>
      <c r="L926" s="71"/>
      <c r="M926" s="67"/>
    </row>
    <row r="927" spans="3:21" x14ac:dyDescent="0.25">
      <c r="C927" s="71"/>
      <c r="K927" s="71"/>
      <c r="L927" s="71"/>
      <c r="M927" s="67"/>
      <c r="S927" s="64"/>
      <c r="T927" s="64"/>
      <c r="U927" s="64"/>
    </row>
    <row r="928" spans="3:21" x14ac:dyDescent="0.25">
      <c r="C928" s="71"/>
      <c r="K928" s="71"/>
      <c r="L928" s="71"/>
      <c r="M928" s="67"/>
      <c r="S928" s="65"/>
    </row>
    <row r="929" spans="3:13" x14ac:dyDescent="0.25">
      <c r="C929" s="71"/>
      <c r="K929" s="71"/>
      <c r="L929" s="71"/>
      <c r="M929" s="67"/>
    </row>
    <row r="930" spans="3:13" x14ac:dyDescent="0.25">
      <c r="C930" s="71"/>
      <c r="K930" s="71"/>
      <c r="L930" s="71"/>
      <c r="M930" s="67"/>
    </row>
    <row r="931" spans="3:13" x14ac:dyDescent="0.25">
      <c r="C931" s="71"/>
      <c r="K931" s="71"/>
      <c r="L931" s="71"/>
      <c r="M931" s="67"/>
    </row>
    <row r="932" spans="3:13" x14ac:dyDescent="0.25">
      <c r="C932" s="71"/>
      <c r="K932" s="71"/>
      <c r="L932" s="71"/>
      <c r="M932" s="67"/>
    </row>
    <row r="933" spans="3:13" x14ac:dyDescent="0.25">
      <c r="C933" s="71"/>
      <c r="K933" s="71"/>
      <c r="L933" s="71"/>
      <c r="M933" s="67"/>
    </row>
    <row r="934" spans="3:13" x14ac:dyDescent="0.25">
      <c r="C934" s="71"/>
      <c r="K934" s="71"/>
      <c r="L934" s="71"/>
      <c r="M934" s="67"/>
    </row>
    <row r="935" spans="3:13" x14ac:dyDescent="0.25">
      <c r="C935" s="71"/>
      <c r="K935" s="71"/>
      <c r="L935" s="71"/>
      <c r="M935" s="67"/>
    </row>
    <row r="936" spans="3:13" x14ac:dyDescent="0.25">
      <c r="C936" s="71"/>
      <c r="K936" s="71"/>
      <c r="L936" s="71"/>
      <c r="M936" s="67"/>
    </row>
    <row r="937" spans="3:13" x14ac:dyDescent="0.25">
      <c r="C937" s="71"/>
      <c r="K937" s="71"/>
      <c r="L937" s="71"/>
      <c r="M937" s="67"/>
    </row>
    <row r="938" spans="3:13" x14ac:dyDescent="0.25">
      <c r="C938" s="71"/>
      <c r="K938" s="71"/>
      <c r="L938" s="71"/>
      <c r="M938" s="67"/>
    </row>
    <row r="939" spans="3:13" x14ac:dyDescent="0.25">
      <c r="C939" s="71"/>
      <c r="K939" s="71"/>
      <c r="L939" s="71"/>
      <c r="M939" s="67"/>
    </row>
    <row r="940" spans="3:13" x14ac:dyDescent="0.25">
      <c r="C940" s="71"/>
      <c r="K940" s="71"/>
      <c r="L940" s="71"/>
      <c r="M940" s="67"/>
    </row>
    <row r="941" spans="3:13" x14ac:dyDescent="0.25">
      <c r="C941" s="71"/>
      <c r="K941" s="71"/>
      <c r="L941" s="71"/>
      <c r="M941" s="67"/>
    </row>
    <row r="942" spans="3:13" x14ac:dyDescent="0.25">
      <c r="C942" s="71"/>
      <c r="K942" s="71"/>
      <c r="L942" s="71"/>
      <c r="M942" s="67"/>
    </row>
    <row r="943" spans="3:13" x14ac:dyDescent="0.25">
      <c r="C943" s="71"/>
      <c r="K943" s="71"/>
      <c r="L943" s="71"/>
      <c r="M943" s="67"/>
    </row>
    <row r="944" spans="3:13" x14ac:dyDescent="0.25">
      <c r="C944" s="71"/>
      <c r="K944" s="71"/>
      <c r="L944" s="71"/>
      <c r="M944" s="67"/>
    </row>
    <row r="945" spans="3:15" x14ac:dyDescent="0.25">
      <c r="C945" s="71"/>
      <c r="K945" s="71"/>
      <c r="L945" s="71"/>
      <c r="M945" s="67"/>
    </row>
    <row r="946" spans="3:15" x14ac:dyDescent="0.25">
      <c r="C946" s="71"/>
      <c r="K946" s="71"/>
      <c r="L946" s="71"/>
      <c r="M946" s="67"/>
    </row>
    <row r="947" spans="3:15" x14ac:dyDescent="0.25">
      <c r="C947" s="71"/>
      <c r="K947" s="71"/>
      <c r="L947" s="71"/>
      <c r="M947" s="67"/>
    </row>
    <row r="948" spans="3:15" x14ac:dyDescent="0.25">
      <c r="C948" s="71"/>
      <c r="K948" s="71"/>
      <c r="L948" s="71"/>
      <c r="M948" s="67"/>
    </row>
    <row r="949" spans="3:15" x14ac:dyDescent="0.25">
      <c r="C949" s="71"/>
      <c r="K949" s="71"/>
      <c r="L949" s="71"/>
      <c r="M949" s="67"/>
    </row>
    <row r="950" spans="3:15" x14ac:dyDescent="0.25">
      <c r="C950" s="71"/>
      <c r="K950" s="71"/>
      <c r="L950" s="71"/>
      <c r="M950" s="67"/>
    </row>
    <row r="951" spans="3:15" x14ac:dyDescent="0.25">
      <c r="C951" s="71"/>
      <c r="K951" s="71"/>
      <c r="L951" s="71"/>
      <c r="M951" s="67"/>
    </row>
    <row r="952" spans="3:15" x14ac:dyDescent="0.25">
      <c r="C952" s="71"/>
      <c r="K952" s="71"/>
      <c r="L952" s="71"/>
      <c r="M952" s="67"/>
    </row>
    <row r="953" spans="3:15" x14ac:dyDescent="0.25">
      <c r="C953" s="71"/>
      <c r="K953" s="71"/>
      <c r="L953" s="71"/>
      <c r="M953" s="67"/>
      <c r="O953" s="61"/>
    </row>
    <row r="954" spans="3:15" x14ac:dyDescent="0.25">
      <c r="C954" s="71"/>
      <c r="K954" s="71"/>
      <c r="L954" s="71"/>
      <c r="M954" s="67"/>
    </row>
    <row r="955" spans="3:15" x14ac:dyDescent="0.25">
      <c r="C955" s="71"/>
      <c r="G955" s="61"/>
      <c r="K955" s="71"/>
      <c r="L955" s="71"/>
      <c r="M955" s="67"/>
    </row>
    <row r="956" spans="3:15" x14ac:dyDescent="0.25">
      <c r="C956" s="71"/>
      <c r="K956" s="71"/>
      <c r="L956" s="71"/>
      <c r="M956" s="67"/>
    </row>
    <row r="957" spans="3:15" x14ac:dyDescent="0.25">
      <c r="C957" s="71"/>
      <c r="K957" s="71"/>
      <c r="L957" s="71"/>
      <c r="M957" s="67"/>
    </row>
    <row r="958" spans="3:15" x14ac:dyDescent="0.25">
      <c r="C958" s="71"/>
      <c r="K958" s="71"/>
      <c r="L958" s="71"/>
      <c r="M958" s="67"/>
    </row>
    <row r="959" spans="3:15" x14ac:dyDescent="0.25">
      <c r="C959" s="71"/>
      <c r="K959" s="71"/>
      <c r="L959" s="71"/>
      <c r="M959" s="67"/>
    </row>
    <row r="960" spans="3:15" x14ac:dyDescent="0.25">
      <c r="C960" s="71"/>
      <c r="K960" s="71"/>
      <c r="L960" s="71"/>
      <c r="M960" s="67"/>
    </row>
    <row r="961" spans="3:13" x14ac:dyDescent="0.25">
      <c r="C961" s="71"/>
      <c r="K961" s="71"/>
      <c r="L961" s="71"/>
      <c r="M961" s="67"/>
    </row>
    <row r="962" spans="3:13" x14ac:dyDescent="0.25">
      <c r="C962" s="71"/>
      <c r="K962" s="71"/>
      <c r="L962" s="71"/>
      <c r="M962" s="67"/>
    </row>
    <row r="963" spans="3:13" x14ac:dyDescent="0.25">
      <c r="C963" s="71"/>
      <c r="K963" s="71"/>
      <c r="L963" s="71"/>
      <c r="M963" s="67"/>
    </row>
    <row r="964" spans="3:13" x14ac:dyDescent="0.25">
      <c r="C964" s="71"/>
      <c r="K964" s="71"/>
      <c r="L964" s="71"/>
      <c r="M964" s="67"/>
    </row>
    <row r="965" spans="3:13" x14ac:dyDescent="0.25">
      <c r="C965" s="71"/>
      <c r="K965" s="71"/>
      <c r="L965" s="71"/>
      <c r="M965" s="67"/>
    </row>
    <row r="966" spans="3:13" x14ac:dyDescent="0.25">
      <c r="C966" s="71"/>
      <c r="K966" s="71"/>
      <c r="L966" s="71"/>
      <c r="M966" s="67"/>
    </row>
    <row r="967" spans="3:13" x14ac:dyDescent="0.25">
      <c r="C967" s="71"/>
      <c r="K967" s="71"/>
      <c r="L967" s="71"/>
      <c r="M967" s="67"/>
    </row>
    <row r="968" spans="3:13" x14ac:dyDescent="0.25">
      <c r="C968" s="71"/>
      <c r="K968" s="71"/>
      <c r="L968" s="71"/>
      <c r="M968" s="67"/>
    </row>
    <row r="969" spans="3:13" x14ac:dyDescent="0.25">
      <c r="C969" s="71"/>
      <c r="K969" s="71"/>
      <c r="L969" s="71"/>
      <c r="M969" s="67"/>
    </row>
    <row r="970" spans="3:13" x14ac:dyDescent="0.25">
      <c r="C970" s="71"/>
      <c r="K970" s="71"/>
      <c r="L970" s="71"/>
      <c r="M970" s="67"/>
    </row>
    <row r="971" spans="3:13" x14ac:dyDescent="0.25">
      <c r="C971" s="71"/>
      <c r="K971" s="71"/>
      <c r="L971" s="71"/>
      <c r="M971" s="67"/>
    </row>
    <row r="972" spans="3:13" x14ac:dyDescent="0.25">
      <c r="C972" s="71"/>
      <c r="K972" s="71"/>
      <c r="L972" s="71"/>
      <c r="M972" s="67"/>
    </row>
    <row r="973" spans="3:13" x14ac:dyDescent="0.25">
      <c r="C973" s="71"/>
      <c r="K973" s="71"/>
      <c r="L973" s="71"/>
      <c r="M973" s="67"/>
    </row>
    <row r="974" spans="3:13" x14ac:dyDescent="0.25">
      <c r="C974" s="71"/>
      <c r="K974" s="71"/>
      <c r="L974" s="71"/>
      <c r="M974" s="67"/>
    </row>
    <row r="975" spans="3:13" x14ac:dyDescent="0.25">
      <c r="C975" s="71"/>
      <c r="K975" s="71"/>
      <c r="L975" s="71"/>
      <c r="M975" s="67"/>
    </row>
    <row r="976" spans="3:13" x14ac:dyDescent="0.25">
      <c r="C976" s="71"/>
      <c r="K976" s="71"/>
      <c r="L976" s="71"/>
      <c r="M976" s="67"/>
    </row>
    <row r="977" spans="3:13" x14ac:dyDescent="0.25">
      <c r="C977" s="71"/>
      <c r="K977" s="71"/>
      <c r="L977" s="71"/>
      <c r="M977" s="67"/>
    </row>
    <row r="978" spans="3:13" x14ac:dyDescent="0.25">
      <c r="C978" s="71"/>
      <c r="K978" s="71"/>
      <c r="L978" s="71"/>
      <c r="M978" s="67"/>
    </row>
    <row r="979" spans="3:13" x14ac:dyDescent="0.25">
      <c r="C979" s="71"/>
      <c r="K979" s="71"/>
      <c r="L979" s="71"/>
      <c r="M979" s="67"/>
    </row>
    <row r="980" spans="3:13" x14ac:dyDescent="0.25">
      <c r="C980" s="71"/>
      <c r="K980" s="71"/>
      <c r="L980" s="71"/>
      <c r="M980" s="67"/>
    </row>
    <row r="981" spans="3:13" x14ac:dyDescent="0.25">
      <c r="C981" s="71"/>
      <c r="K981" s="71"/>
      <c r="L981" s="71"/>
      <c r="M981" s="67"/>
    </row>
    <row r="982" spans="3:13" x14ac:dyDescent="0.25">
      <c r="C982" s="71"/>
      <c r="K982" s="71"/>
      <c r="L982" s="71"/>
      <c r="M982" s="67"/>
    </row>
    <row r="983" spans="3:13" x14ac:dyDescent="0.25">
      <c r="C983" s="71"/>
      <c r="K983" s="71"/>
      <c r="L983" s="71"/>
      <c r="M983" s="67"/>
    </row>
    <row r="984" spans="3:13" x14ac:dyDescent="0.25">
      <c r="C984" s="71"/>
      <c r="K984" s="71"/>
      <c r="L984" s="71"/>
      <c r="M984" s="67"/>
    </row>
    <row r="985" spans="3:13" x14ac:dyDescent="0.25">
      <c r="C985" s="71"/>
      <c r="K985" s="71"/>
      <c r="L985" s="71"/>
      <c r="M985" s="67"/>
    </row>
    <row r="986" spans="3:13" x14ac:dyDescent="0.25">
      <c r="C986" s="71"/>
      <c r="K986" s="71"/>
      <c r="L986" s="71"/>
      <c r="M986" s="67"/>
    </row>
    <row r="987" spans="3:13" x14ac:dyDescent="0.25">
      <c r="C987" s="71"/>
      <c r="K987" s="71"/>
      <c r="L987" s="71"/>
      <c r="M987" s="67"/>
    </row>
    <row r="988" spans="3:13" x14ac:dyDescent="0.25">
      <c r="C988" s="71"/>
      <c r="K988" s="71"/>
      <c r="L988" s="71"/>
      <c r="M988" s="67"/>
    </row>
    <row r="989" spans="3:13" x14ac:dyDescent="0.25">
      <c r="C989" s="71"/>
      <c r="K989" s="71"/>
      <c r="L989" s="71"/>
      <c r="M989" s="67"/>
    </row>
    <row r="990" spans="3:13" x14ac:dyDescent="0.25">
      <c r="C990" s="71"/>
      <c r="K990" s="71"/>
      <c r="L990" s="71"/>
      <c r="M990" s="67"/>
    </row>
    <row r="991" spans="3:13" x14ac:dyDescent="0.25">
      <c r="C991" s="71"/>
      <c r="K991" s="71"/>
      <c r="L991" s="71"/>
      <c r="M991" s="67"/>
    </row>
    <row r="992" spans="3:13" x14ac:dyDescent="0.25">
      <c r="C992" s="71"/>
      <c r="K992" s="71"/>
      <c r="L992" s="71"/>
      <c r="M992" s="67"/>
    </row>
    <row r="993" spans="3:13" x14ac:dyDescent="0.25">
      <c r="C993" s="71"/>
      <c r="K993" s="71"/>
      <c r="L993" s="71"/>
      <c r="M993" s="67"/>
    </row>
    <row r="994" spans="3:13" x14ac:dyDescent="0.25">
      <c r="C994" s="71"/>
      <c r="K994" s="71"/>
      <c r="L994" s="71"/>
      <c r="M994" s="67"/>
    </row>
    <row r="995" spans="3:13" x14ac:dyDescent="0.25">
      <c r="C995" s="71"/>
      <c r="K995" s="71"/>
      <c r="L995" s="71"/>
      <c r="M995" s="67"/>
    </row>
    <row r="996" spans="3:13" x14ac:dyDescent="0.25">
      <c r="C996" s="71"/>
      <c r="K996" s="71"/>
      <c r="L996" s="71"/>
      <c r="M996" s="67"/>
    </row>
    <row r="997" spans="3:13" x14ac:dyDescent="0.25">
      <c r="C997" s="71"/>
      <c r="K997" s="71"/>
      <c r="L997" s="71"/>
      <c r="M997" s="67"/>
    </row>
    <row r="998" spans="3:13" x14ac:dyDescent="0.25">
      <c r="C998" s="71"/>
      <c r="K998" s="71"/>
      <c r="L998" s="71"/>
      <c r="M998" s="67"/>
    </row>
    <row r="999" spans="3:13" x14ac:dyDescent="0.25">
      <c r="C999" s="71"/>
      <c r="K999" s="71"/>
      <c r="L999" s="71"/>
      <c r="M999" s="67"/>
    </row>
    <row r="1000" spans="3:13" x14ac:dyDescent="0.25">
      <c r="C1000" s="71"/>
      <c r="K1000" s="71"/>
      <c r="L1000" s="71"/>
      <c r="M1000" s="67"/>
    </row>
    <row r="1001" spans="3:13" x14ac:dyDescent="0.25">
      <c r="C1001" s="71"/>
      <c r="K1001" s="71"/>
      <c r="L1001" s="71"/>
      <c r="M1001" s="67"/>
    </row>
    <row r="1002" spans="3:13" x14ac:dyDescent="0.25">
      <c r="C1002" s="71"/>
      <c r="K1002" s="71"/>
      <c r="L1002" s="71"/>
      <c r="M1002" s="67"/>
    </row>
    <row r="1003" spans="3:13" x14ac:dyDescent="0.25">
      <c r="C1003" s="71"/>
      <c r="K1003" s="71"/>
      <c r="L1003" s="71"/>
      <c r="M1003" s="67"/>
    </row>
    <row r="1004" spans="3:13" x14ac:dyDescent="0.25">
      <c r="C1004" s="71"/>
      <c r="K1004" s="71"/>
      <c r="L1004" s="71"/>
      <c r="M1004" s="67"/>
    </row>
    <row r="1005" spans="3:13" x14ac:dyDescent="0.25">
      <c r="C1005" s="71"/>
      <c r="K1005" s="71"/>
      <c r="L1005" s="71"/>
      <c r="M1005" s="67"/>
    </row>
    <row r="1006" spans="3:13" x14ac:dyDescent="0.25">
      <c r="C1006" s="71"/>
      <c r="K1006" s="71"/>
      <c r="L1006" s="71"/>
      <c r="M1006" s="67"/>
    </row>
    <row r="1007" spans="3:13" x14ac:dyDescent="0.25">
      <c r="C1007" s="71"/>
      <c r="K1007" s="71"/>
      <c r="L1007" s="71"/>
      <c r="M1007" s="67"/>
    </row>
    <row r="1008" spans="3:13" x14ac:dyDescent="0.25">
      <c r="C1008" s="71"/>
      <c r="K1008" s="71"/>
      <c r="L1008" s="71"/>
      <c r="M1008" s="67"/>
    </row>
    <row r="1009" spans="3:13" x14ac:dyDescent="0.25">
      <c r="C1009" s="71"/>
      <c r="K1009" s="71"/>
      <c r="L1009" s="71"/>
      <c r="M1009" s="67"/>
    </row>
    <row r="1010" spans="3:13" x14ac:dyDescent="0.25">
      <c r="C1010" s="71"/>
      <c r="K1010" s="71"/>
      <c r="L1010" s="71"/>
      <c r="M1010" s="67"/>
    </row>
    <row r="1011" spans="3:13" x14ac:dyDescent="0.25">
      <c r="C1011" s="71"/>
      <c r="K1011" s="71"/>
      <c r="L1011" s="71"/>
      <c r="M1011" s="67"/>
    </row>
    <row r="1012" spans="3:13" x14ac:dyDescent="0.25">
      <c r="C1012" s="71"/>
      <c r="K1012" s="71"/>
      <c r="L1012" s="71"/>
      <c r="M1012" s="67"/>
    </row>
    <row r="1013" spans="3:13" x14ac:dyDescent="0.25">
      <c r="C1013" s="71"/>
      <c r="K1013" s="71"/>
      <c r="L1013" s="71"/>
      <c r="M1013" s="67"/>
    </row>
    <row r="1014" spans="3:13" x14ac:dyDescent="0.25">
      <c r="C1014" s="71"/>
      <c r="K1014" s="71"/>
      <c r="L1014" s="71"/>
      <c r="M1014" s="67"/>
    </row>
    <row r="1015" spans="3:13" x14ac:dyDescent="0.25">
      <c r="C1015" s="71"/>
      <c r="K1015" s="71"/>
      <c r="L1015" s="71"/>
      <c r="M1015" s="67"/>
    </row>
    <row r="1016" spans="3:13" x14ac:dyDescent="0.25">
      <c r="C1016" s="71"/>
      <c r="K1016" s="71"/>
      <c r="L1016" s="71"/>
      <c r="M1016" s="67"/>
    </row>
    <row r="1017" spans="3:13" x14ac:dyDescent="0.25">
      <c r="C1017" s="71"/>
      <c r="K1017" s="71"/>
      <c r="L1017" s="71"/>
      <c r="M1017" s="67"/>
    </row>
    <row r="1018" spans="3:13" x14ac:dyDescent="0.25">
      <c r="C1018" s="71"/>
      <c r="K1018" s="71"/>
      <c r="L1018" s="71"/>
      <c r="M1018" s="67"/>
    </row>
    <row r="1019" spans="3:13" x14ac:dyDescent="0.25">
      <c r="C1019" s="71"/>
      <c r="K1019" s="71"/>
      <c r="L1019" s="71"/>
      <c r="M1019" s="67"/>
    </row>
    <row r="1020" spans="3:13" x14ac:dyDescent="0.25">
      <c r="C1020" s="71"/>
      <c r="K1020" s="71"/>
      <c r="L1020" s="71"/>
      <c r="M1020" s="67"/>
    </row>
    <row r="1021" spans="3:13" x14ac:dyDescent="0.25">
      <c r="C1021" s="71"/>
      <c r="K1021" s="71"/>
      <c r="L1021" s="71"/>
      <c r="M1021" s="67"/>
    </row>
    <row r="1022" spans="3:13" x14ac:dyDescent="0.25">
      <c r="C1022" s="71"/>
      <c r="K1022" s="71"/>
      <c r="L1022" s="71"/>
      <c r="M1022" s="67"/>
    </row>
    <row r="1023" spans="3:13" x14ac:dyDescent="0.25">
      <c r="C1023" s="71"/>
      <c r="K1023" s="71"/>
      <c r="L1023" s="71"/>
      <c r="M1023" s="67"/>
    </row>
    <row r="1024" spans="3:13" x14ac:dyDescent="0.25">
      <c r="C1024" s="71"/>
      <c r="K1024" s="71"/>
      <c r="L1024" s="71"/>
      <c r="M1024" s="67"/>
    </row>
    <row r="1025" spans="3:13" x14ac:dyDescent="0.25">
      <c r="C1025" s="71"/>
      <c r="K1025" s="71"/>
      <c r="L1025" s="71"/>
      <c r="M1025" s="67"/>
    </row>
    <row r="1026" spans="3:13" x14ac:dyDescent="0.25">
      <c r="C1026" s="71"/>
      <c r="K1026" s="71"/>
      <c r="L1026" s="71"/>
      <c r="M1026" s="67"/>
    </row>
    <row r="1027" spans="3:13" x14ac:dyDescent="0.25">
      <c r="C1027" s="71"/>
      <c r="K1027" s="71"/>
      <c r="L1027" s="71"/>
      <c r="M1027" s="67"/>
    </row>
    <row r="1028" spans="3:13" x14ac:dyDescent="0.25">
      <c r="C1028" s="71"/>
      <c r="K1028" s="71"/>
      <c r="L1028" s="71"/>
      <c r="M1028" s="67"/>
    </row>
    <row r="1029" spans="3:13" x14ac:dyDescent="0.25">
      <c r="C1029" s="71"/>
      <c r="K1029" s="71"/>
      <c r="L1029" s="71"/>
      <c r="M1029" s="67"/>
    </row>
    <row r="1030" spans="3:13" x14ac:dyDescent="0.25">
      <c r="C1030" s="71"/>
      <c r="K1030" s="71"/>
      <c r="L1030" s="71"/>
      <c r="M1030" s="67"/>
    </row>
    <row r="1031" spans="3:13" x14ac:dyDescent="0.25">
      <c r="C1031" s="71"/>
      <c r="K1031" s="71"/>
      <c r="L1031" s="71"/>
      <c r="M1031" s="67"/>
    </row>
    <row r="1032" spans="3:13" x14ac:dyDescent="0.25">
      <c r="C1032" s="71"/>
      <c r="K1032" s="71"/>
      <c r="L1032" s="71"/>
      <c r="M1032" s="67"/>
    </row>
    <row r="1033" spans="3:13" x14ac:dyDescent="0.25">
      <c r="C1033" s="71"/>
      <c r="K1033" s="71"/>
      <c r="L1033" s="71"/>
      <c r="M1033" s="67"/>
    </row>
    <row r="1034" spans="3:13" x14ac:dyDescent="0.25">
      <c r="C1034" s="71"/>
      <c r="K1034" s="71"/>
      <c r="L1034" s="71"/>
      <c r="M1034" s="67"/>
    </row>
    <row r="1035" spans="3:13" x14ac:dyDescent="0.25">
      <c r="C1035" s="71"/>
      <c r="K1035" s="71"/>
      <c r="L1035" s="71"/>
      <c r="M1035" s="67"/>
    </row>
    <row r="1036" spans="3:13" x14ac:dyDescent="0.25">
      <c r="C1036" s="71"/>
      <c r="K1036" s="71"/>
      <c r="L1036" s="71"/>
      <c r="M1036" s="67"/>
    </row>
    <row r="1037" spans="3:13" x14ac:dyDescent="0.25">
      <c r="C1037" s="71"/>
      <c r="K1037" s="71"/>
      <c r="L1037" s="71"/>
      <c r="M1037" s="67"/>
    </row>
    <row r="1038" spans="3:13" x14ac:dyDescent="0.25">
      <c r="C1038" s="71"/>
      <c r="K1038" s="71"/>
      <c r="L1038" s="71"/>
      <c r="M1038" s="67"/>
    </row>
    <row r="1039" spans="3:13" x14ac:dyDescent="0.25">
      <c r="C1039" s="71"/>
      <c r="K1039" s="71"/>
      <c r="L1039" s="71"/>
      <c r="M1039" s="67"/>
    </row>
    <row r="1040" spans="3:13" x14ac:dyDescent="0.25">
      <c r="C1040" s="71"/>
      <c r="K1040" s="71"/>
      <c r="L1040" s="71"/>
      <c r="M1040" s="67"/>
    </row>
    <row r="1041" spans="3:13" x14ac:dyDescent="0.25">
      <c r="C1041" s="71"/>
      <c r="K1041" s="71"/>
      <c r="L1041" s="71"/>
      <c r="M1041" s="67"/>
    </row>
    <row r="1042" spans="3:13" x14ac:dyDescent="0.25">
      <c r="C1042" s="71"/>
      <c r="K1042" s="71"/>
      <c r="L1042" s="71"/>
      <c r="M1042" s="67"/>
    </row>
    <row r="1043" spans="3:13" x14ac:dyDescent="0.25">
      <c r="C1043" s="71"/>
      <c r="K1043" s="71"/>
      <c r="L1043" s="71"/>
      <c r="M1043" s="67"/>
    </row>
    <row r="1044" spans="3:13" x14ac:dyDescent="0.25">
      <c r="C1044" s="71"/>
      <c r="K1044" s="71"/>
      <c r="L1044" s="71"/>
      <c r="M1044" s="67"/>
    </row>
    <row r="1045" spans="3:13" x14ac:dyDescent="0.25">
      <c r="C1045" s="71"/>
      <c r="K1045" s="71"/>
      <c r="L1045" s="71"/>
      <c r="M1045" s="67"/>
    </row>
    <row r="1046" spans="3:13" x14ac:dyDescent="0.25">
      <c r="C1046" s="71"/>
      <c r="K1046" s="71"/>
      <c r="L1046" s="71"/>
      <c r="M1046" s="67"/>
    </row>
    <row r="1047" spans="3:13" x14ac:dyDescent="0.25">
      <c r="C1047" s="71"/>
      <c r="K1047" s="71"/>
      <c r="L1047" s="71"/>
      <c r="M1047" s="67"/>
    </row>
    <row r="1048" spans="3:13" x14ac:dyDescent="0.25">
      <c r="C1048" s="71"/>
      <c r="K1048" s="71"/>
      <c r="L1048" s="71"/>
      <c r="M1048" s="67"/>
    </row>
    <row r="1049" spans="3:13" x14ac:dyDescent="0.25">
      <c r="C1049" s="71"/>
      <c r="K1049" s="71"/>
      <c r="L1049" s="71"/>
      <c r="M1049" s="67"/>
    </row>
    <row r="1050" spans="3:13" x14ac:dyDescent="0.25">
      <c r="C1050" s="71"/>
      <c r="K1050" s="71"/>
      <c r="L1050" s="71"/>
      <c r="M1050" s="67"/>
    </row>
    <row r="1051" spans="3:13" x14ac:dyDescent="0.25">
      <c r="C1051" s="71"/>
      <c r="K1051" s="71"/>
      <c r="L1051" s="71"/>
      <c r="M1051" s="67"/>
    </row>
    <row r="1052" spans="3:13" x14ac:dyDescent="0.25">
      <c r="C1052" s="71"/>
      <c r="K1052" s="71"/>
      <c r="L1052" s="71"/>
      <c r="M1052" s="67"/>
    </row>
    <row r="1053" spans="3:13" x14ac:dyDescent="0.25">
      <c r="C1053" s="71"/>
      <c r="K1053" s="71"/>
      <c r="L1053" s="71"/>
      <c r="M1053" s="67"/>
    </row>
    <row r="1054" spans="3:13" x14ac:dyDescent="0.25">
      <c r="C1054" s="71"/>
      <c r="K1054" s="71"/>
      <c r="L1054" s="71"/>
      <c r="M1054" s="67"/>
    </row>
    <row r="1055" spans="3:13" x14ac:dyDescent="0.25">
      <c r="C1055" s="71"/>
      <c r="K1055" s="71"/>
      <c r="L1055" s="71"/>
      <c r="M1055" s="67"/>
    </row>
    <row r="1056" spans="3:13" x14ac:dyDescent="0.25">
      <c r="C1056" s="71"/>
      <c r="K1056" s="71"/>
      <c r="L1056" s="71"/>
      <c r="M1056" s="67"/>
    </row>
    <row r="1057" spans="3:13" x14ac:dyDescent="0.25">
      <c r="C1057" s="71"/>
      <c r="K1057" s="71"/>
      <c r="L1057" s="71"/>
      <c r="M1057" s="67"/>
    </row>
    <row r="1058" spans="3:13" x14ac:dyDescent="0.25">
      <c r="C1058" s="71"/>
      <c r="K1058" s="71"/>
      <c r="L1058" s="71"/>
      <c r="M1058" s="67"/>
    </row>
    <row r="1059" spans="3:13" x14ac:dyDescent="0.25">
      <c r="C1059" s="71"/>
      <c r="K1059" s="71"/>
      <c r="L1059" s="71"/>
      <c r="M1059" s="67"/>
    </row>
    <row r="1060" spans="3:13" x14ac:dyDescent="0.25">
      <c r="C1060" s="71"/>
      <c r="K1060" s="71"/>
      <c r="L1060" s="71"/>
      <c r="M1060" s="67"/>
    </row>
    <row r="1061" spans="3:13" x14ac:dyDescent="0.25">
      <c r="C1061" s="71"/>
      <c r="K1061" s="71"/>
      <c r="L1061" s="71"/>
      <c r="M1061" s="67"/>
    </row>
    <row r="1062" spans="3:13" x14ac:dyDescent="0.25">
      <c r="C1062" s="71"/>
      <c r="K1062" s="71"/>
      <c r="L1062" s="71"/>
      <c r="M1062" s="67"/>
    </row>
    <row r="1063" spans="3:13" x14ac:dyDescent="0.25">
      <c r="C1063" s="71"/>
      <c r="K1063" s="71"/>
      <c r="L1063" s="71"/>
      <c r="M1063" s="67"/>
    </row>
    <row r="1064" spans="3:13" x14ac:dyDescent="0.25">
      <c r="C1064" s="71"/>
      <c r="K1064" s="71"/>
      <c r="L1064" s="71"/>
      <c r="M1064" s="67"/>
    </row>
    <row r="1065" spans="3:13" x14ac:dyDescent="0.25">
      <c r="C1065" s="71"/>
      <c r="K1065" s="71"/>
      <c r="L1065" s="71"/>
      <c r="M1065" s="67"/>
    </row>
    <row r="1066" spans="3:13" x14ac:dyDescent="0.25">
      <c r="C1066" s="71"/>
      <c r="K1066" s="71"/>
      <c r="L1066" s="71"/>
      <c r="M1066" s="67"/>
    </row>
    <row r="1067" spans="3:13" x14ac:dyDescent="0.25">
      <c r="C1067" s="71"/>
      <c r="K1067" s="71"/>
      <c r="L1067" s="71"/>
      <c r="M1067" s="67"/>
    </row>
    <row r="1068" spans="3:13" x14ac:dyDescent="0.25">
      <c r="C1068" s="71"/>
      <c r="K1068" s="71"/>
      <c r="L1068" s="71"/>
      <c r="M1068" s="67"/>
    </row>
    <row r="1069" spans="3:13" x14ac:dyDescent="0.25">
      <c r="C1069" s="71"/>
      <c r="K1069" s="71"/>
      <c r="L1069" s="71"/>
      <c r="M1069" s="67"/>
    </row>
    <row r="1070" spans="3:13" x14ac:dyDescent="0.25">
      <c r="C1070" s="71"/>
      <c r="K1070" s="71"/>
      <c r="L1070" s="71"/>
      <c r="M1070" s="67"/>
    </row>
    <row r="1071" spans="3:13" x14ac:dyDescent="0.25">
      <c r="C1071" s="71"/>
      <c r="K1071" s="71"/>
      <c r="L1071" s="71"/>
      <c r="M1071" s="67"/>
    </row>
    <row r="1072" spans="3:13" x14ac:dyDescent="0.25">
      <c r="C1072" s="71"/>
      <c r="K1072" s="71"/>
      <c r="L1072" s="71"/>
      <c r="M1072" s="67"/>
    </row>
    <row r="1073" spans="3:13" x14ac:dyDescent="0.25">
      <c r="C1073" s="71"/>
      <c r="K1073" s="71"/>
      <c r="L1073" s="71"/>
      <c r="M1073" s="67"/>
    </row>
    <row r="1074" spans="3:13" x14ac:dyDescent="0.25">
      <c r="C1074" s="71"/>
      <c r="K1074" s="71"/>
      <c r="L1074" s="71"/>
      <c r="M1074" s="67"/>
    </row>
    <row r="1075" spans="3:13" x14ac:dyDescent="0.25">
      <c r="C1075" s="71"/>
      <c r="K1075" s="71"/>
      <c r="L1075" s="71"/>
      <c r="M1075" s="67"/>
    </row>
    <row r="1076" spans="3:13" x14ac:dyDescent="0.25">
      <c r="C1076" s="71"/>
      <c r="K1076" s="71"/>
      <c r="L1076" s="71"/>
      <c r="M1076" s="67"/>
    </row>
    <row r="1077" spans="3:13" x14ac:dyDescent="0.25">
      <c r="C1077" s="71"/>
      <c r="K1077" s="71"/>
      <c r="L1077" s="71"/>
      <c r="M1077" s="67"/>
    </row>
    <row r="1078" spans="3:13" x14ac:dyDescent="0.25">
      <c r="C1078" s="71"/>
      <c r="K1078" s="71"/>
      <c r="L1078" s="71"/>
      <c r="M1078" s="67"/>
    </row>
    <row r="1079" spans="3:13" x14ac:dyDescent="0.25">
      <c r="C1079" s="71"/>
      <c r="K1079" s="71"/>
      <c r="L1079" s="71"/>
      <c r="M1079" s="67"/>
    </row>
    <row r="1080" spans="3:13" x14ac:dyDescent="0.25">
      <c r="C1080" s="71"/>
      <c r="K1080" s="71"/>
      <c r="L1080" s="71"/>
      <c r="M1080" s="67"/>
    </row>
    <row r="1081" spans="3:13" x14ac:dyDescent="0.25">
      <c r="C1081" s="71"/>
      <c r="K1081" s="71"/>
      <c r="L1081" s="71"/>
      <c r="M1081" s="67"/>
    </row>
    <row r="1082" spans="3:13" x14ac:dyDescent="0.25">
      <c r="C1082" s="71"/>
      <c r="K1082" s="71"/>
      <c r="L1082" s="71"/>
      <c r="M1082" s="67"/>
    </row>
    <row r="1083" spans="3:13" x14ac:dyDescent="0.25">
      <c r="C1083" s="71"/>
      <c r="K1083" s="71"/>
      <c r="L1083" s="71"/>
      <c r="M1083" s="67"/>
    </row>
    <row r="1084" spans="3:13" x14ac:dyDescent="0.25">
      <c r="C1084" s="71"/>
      <c r="K1084" s="71"/>
      <c r="L1084" s="71"/>
      <c r="M1084" s="67"/>
    </row>
    <row r="1085" spans="3:13" x14ac:dyDescent="0.25">
      <c r="C1085" s="71"/>
      <c r="K1085" s="71"/>
      <c r="L1085" s="71"/>
      <c r="M1085" s="67"/>
    </row>
    <row r="1086" spans="3:13" x14ac:dyDescent="0.25">
      <c r="C1086" s="71"/>
      <c r="K1086" s="71"/>
      <c r="L1086" s="71"/>
      <c r="M1086" s="67"/>
    </row>
    <row r="1087" spans="3:13" x14ac:dyDescent="0.25">
      <c r="C1087" s="71"/>
      <c r="K1087" s="71"/>
      <c r="L1087" s="71"/>
      <c r="M1087" s="67"/>
    </row>
    <row r="1088" spans="3:13" x14ac:dyDescent="0.25">
      <c r="C1088" s="71"/>
      <c r="K1088" s="71"/>
      <c r="L1088" s="71"/>
      <c r="M1088" s="67"/>
    </row>
    <row r="1089" spans="3:13" x14ac:dyDescent="0.25">
      <c r="C1089" s="71"/>
      <c r="K1089" s="71"/>
      <c r="L1089" s="71"/>
      <c r="M1089" s="67"/>
    </row>
    <row r="1090" spans="3:13" x14ac:dyDescent="0.25">
      <c r="C1090" s="71"/>
      <c r="K1090" s="71"/>
      <c r="L1090" s="71"/>
      <c r="M1090" s="67"/>
    </row>
    <row r="1091" spans="3:13" x14ac:dyDescent="0.25">
      <c r="C1091" s="71"/>
      <c r="K1091" s="71"/>
      <c r="L1091" s="71"/>
      <c r="M1091" s="67"/>
    </row>
    <row r="1092" spans="3:13" x14ac:dyDescent="0.25">
      <c r="C1092" s="71"/>
      <c r="K1092" s="71"/>
      <c r="L1092" s="71"/>
      <c r="M1092" s="67"/>
    </row>
    <row r="1093" spans="3:13" x14ac:dyDescent="0.25">
      <c r="C1093" s="71"/>
      <c r="K1093" s="71"/>
      <c r="L1093" s="71"/>
      <c r="M1093" s="67"/>
    </row>
    <row r="1094" spans="3:13" x14ac:dyDescent="0.25">
      <c r="C1094" s="71"/>
      <c r="K1094" s="71"/>
      <c r="L1094" s="71"/>
      <c r="M1094" s="67"/>
    </row>
    <row r="1095" spans="3:13" x14ac:dyDescent="0.25">
      <c r="C1095" s="71"/>
      <c r="K1095" s="71"/>
      <c r="L1095" s="71"/>
      <c r="M1095" s="67"/>
    </row>
    <row r="1096" spans="3:13" x14ac:dyDescent="0.25">
      <c r="C1096" s="71"/>
      <c r="K1096" s="71"/>
      <c r="L1096" s="71"/>
      <c r="M1096" s="67"/>
    </row>
    <row r="1097" spans="3:13" x14ac:dyDescent="0.25">
      <c r="C1097" s="71"/>
      <c r="K1097" s="71"/>
      <c r="L1097" s="71"/>
      <c r="M1097" s="67"/>
    </row>
    <row r="1098" spans="3:13" x14ac:dyDescent="0.25">
      <c r="C1098" s="71"/>
      <c r="K1098" s="71"/>
      <c r="L1098" s="71"/>
      <c r="M1098" s="67"/>
    </row>
    <row r="1099" spans="3:13" x14ac:dyDescent="0.25">
      <c r="C1099" s="71"/>
      <c r="K1099" s="71"/>
      <c r="L1099" s="71"/>
      <c r="M1099" s="67"/>
    </row>
    <row r="1100" spans="3:13" x14ac:dyDescent="0.25">
      <c r="C1100" s="71"/>
      <c r="K1100" s="71"/>
      <c r="L1100" s="71"/>
      <c r="M1100" s="67"/>
    </row>
    <row r="1101" spans="3:13" x14ac:dyDescent="0.25">
      <c r="C1101" s="71"/>
      <c r="K1101" s="71"/>
      <c r="L1101" s="71"/>
      <c r="M1101" s="67"/>
    </row>
    <row r="1102" spans="3:13" x14ac:dyDescent="0.25">
      <c r="C1102" s="71"/>
      <c r="K1102" s="71"/>
      <c r="L1102" s="71"/>
      <c r="M1102" s="67"/>
    </row>
    <row r="1103" spans="3:13" x14ac:dyDescent="0.25">
      <c r="C1103" s="71"/>
      <c r="K1103" s="71"/>
      <c r="L1103" s="71"/>
      <c r="M1103" s="67"/>
    </row>
    <row r="1104" spans="3:13" x14ac:dyDescent="0.25">
      <c r="C1104" s="71"/>
      <c r="K1104" s="71"/>
      <c r="L1104" s="71"/>
      <c r="M1104" s="67"/>
    </row>
    <row r="1105" spans="3:13" x14ac:dyDescent="0.25">
      <c r="C1105" s="71"/>
      <c r="K1105" s="71"/>
      <c r="L1105" s="71"/>
      <c r="M1105" s="67"/>
    </row>
    <row r="1106" spans="3:13" x14ac:dyDescent="0.25">
      <c r="C1106" s="71"/>
      <c r="K1106" s="71"/>
      <c r="L1106" s="71"/>
      <c r="M1106" s="67"/>
    </row>
    <row r="1107" spans="3:13" x14ac:dyDescent="0.25">
      <c r="C1107" s="71"/>
      <c r="K1107" s="71"/>
      <c r="L1107" s="71"/>
      <c r="M1107" s="67"/>
    </row>
    <row r="1108" spans="3:13" x14ac:dyDescent="0.25">
      <c r="C1108" s="71"/>
      <c r="K1108" s="71"/>
      <c r="L1108" s="71"/>
      <c r="M1108" s="67"/>
    </row>
    <row r="1109" spans="3:13" x14ac:dyDescent="0.25">
      <c r="C1109" s="71"/>
      <c r="K1109" s="71"/>
      <c r="L1109" s="71"/>
      <c r="M1109" s="67"/>
    </row>
    <row r="1110" spans="3:13" x14ac:dyDescent="0.25">
      <c r="C1110" s="71"/>
      <c r="K1110" s="71"/>
      <c r="L1110" s="71"/>
      <c r="M1110" s="67"/>
    </row>
    <row r="1111" spans="3:13" x14ac:dyDescent="0.25">
      <c r="C1111" s="71"/>
      <c r="K1111" s="71"/>
      <c r="L1111" s="71"/>
      <c r="M1111" s="67"/>
    </row>
    <row r="1112" spans="3:13" x14ac:dyDescent="0.25">
      <c r="C1112" s="71"/>
      <c r="K1112" s="71"/>
      <c r="L1112" s="71"/>
      <c r="M1112" s="67"/>
    </row>
    <row r="1113" spans="3:13" x14ac:dyDescent="0.25">
      <c r="C1113" s="71"/>
      <c r="K1113" s="71"/>
      <c r="L1113" s="71"/>
      <c r="M1113" s="67"/>
    </row>
    <row r="1114" spans="3:13" x14ac:dyDescent="0.25">
      <c r="C1114" s="71"/>
      <c r="K1114" s="71"/>
      <c r="L1114" s="71"/>
      <c r="M1114" s="67"/>
    </row>
    <row r="1115" spans="3:13" x14ac:dyDescent="0.25">
      <c r="C1115" s="71"/>
      <c r="K1115" s="71"/>
      <c r="L1115" s="71"/>
      <c r="M1115" s="67"/>
    </row>
    <row r="1116" spans="3:13" x14ac:dyDescent="0.25">
      <c r="C1116" s="71"/>
      <c r="K1116" s="71"/>
      <c r="L1116" s="71"/>
      <c r="M1116" s="67"/>
    </row>
    <row r="1117" spans="3:13" x14ac:dyDescent="0.25">
      <c r="C1117" s="71"/>
      <c r="K1117" s="71"/>
      <c r="L1117" s="71"/>
      <c r="M1117" s="67"/>
    </row>
    <row r="1118" spans="3:13" x14ac:dyDescent="0.25">
      <c r="C1118" s="71"/>
      <c r="K1118" s="71"/>
      <c r="L1118" s="71"/>
      <c r="M1118" s="67"/>
    </row>
    <row r="1119" spans="3:13" x14ac:dyDescent="0.25">
      <c r="C1119" s="71"/>
      <c r="K1119" s="71"/>
      <c r="L1119" s="71"/>
      <c r="M1119" s="67"/>
    </row>
    <row r="1120" spans="3:13" x14ac:dyDescent="0.25">
      <c r="C1120" s="71"/>
      <c r="K1120" s="71"/>
      <c r="L1120" s="71"/>
      <c r="M1120" s="67"/>
    </row>
    <row r="1121" spans="3:13" x14ac:dyDescent="0.25">
      <c r="C1121" s="71"/>
      <c r="K1121" s="71"/>
      <c r="L1121" s="71"/>
      <c r="M1121" s="67"/>
    </row>
    <row r="1122" spans="3:13" x14ac:dyDescent="0.25">
      <c r="C1122" s="71"/>
      <c r="K1122" s="71"/>
      <c r="L1122" s="71"/>
      <c r="M1122" s="67"/>
    </row>
    <row r="1123" spans="3:13" x14ac:dyDescent="0.25">
      <c r="C1123" s="71"/>
      <c r="K1123" s="71"/>
      <c r="L1123" s="71"/>
      <c r="M1123" s="67"/>
    </row>
    <row r="1124" spans="3:13" x14ac:dyDescent="0.25">
      <c r="C1124" s="71"/>
      <c r="K1124" s="71"/>
      <c r="L1124" s="71"/>
      <c r="M1124" s="67"/>
    </row>
    <row r="1125" spans="3:13" x14ac:dyDescent="0.25">
      <c r="C1125" s="71"/>
      <c r="K1125" s="71"/>
      <c r="L1125" s="71"/>
      <c r="M1125" s="67"/>
    </row>
    <row r="1126" spans="3:13" x14ac:dyDescent="0.25">
      <c r="C1126" s="71"/>
      <c r="K1126" s="71"/>
      <c r="L1126" s="71"/>
      <c r="M1126" s="67"/>
    </row>
    <row r="1127" spans="3:13" x14ac:dyDescent="0.25">
      <c r="C1127" s="71"/>
      <c r="K1127" s="71"/>
      <c r="L1127" s="71"/>
      <c r="M1127" s="67"/>
    </row>
    <row r="1128" spans="3:13" x14ac:dyDescent="0.25">
      <c r="C1128" s="71"/>
      <c r="K1128" s="71"/>
      <c r="L1128" s="71"/>
      <c r="M1128" s="67"/>
    </row>
    <row r="1129" spans="3:13" x14ac:dyDescent="0.25">
      <c r="C1129" s="71"/>
      <c r="K1129" s="71"/>
      <c r="L1129" s="71"/>
      <c r="M1129" s="67"/>
    </row>
    <row r="1130" spans="3:13" x14ac:dyDescent="0.25">
      <c r="C1130" s="71"/>
      <c r="K1130" s="71"/>
      <c r="L1130" s="71"/>
      <c r="M1130" s="67"/>
    </row>
    <row r="1131" spans="3:13" x14ac:dyDescent="0.25">
      <c r="C1131" s="71"/>
      <c r="K1131" s="71"/>
      <c r="L1131" s="71"/>
      <c r="M1131" s="67"/>
    </row>
    <row r="1132" spans="3:13" x14ac:dyDescent="0.25">
      <c r="C1132" s="71"/>
      <c r="K1132" s="71"/>
      <c r="L1132" s="71"/>
      <c r="M1132" s="67"/>
    </row>
    <row r="1133" spans="3:13" x14ac:dyDescent="0.25">
      <c r="C1133" s="71"/>
      <c r="K1133" s="71"/>
      <c r="L1133" s="71"/>
      <c r="M1133" s="67"/>
    </row>
    <row r="1134" spans="3:13" x14ac:dyDescent="0.25">
      <c r="C1134" s="71"/>
      <c r="K1134" s="71"/>
      <c r="L1134" s="71"/>
      <c r="M1134" s="67"/>
    </row>
    <row r="1135" spans="3:13" x14ac:dyDescent="0.25">
      <c r="C1135" s="71"/>
      <c r="K1135" s="71"/>
      <c r="L1135" s="71"/>
      <c r="M1135" s="67"/>
    </row>
    <row r="1136" spans="3:13" x14ac:dyDescent="0.25">
      <c r="C1136" s="71"/>
      <c r="K1136" s="71"/>
      <c r="L1136" s="71"/>
      <c r="M1136" s="67"/>
    </row>
    <row r="1137" spans="3:53" x14ac:dyDescent="0.25">
      <c r="C1137" s="71"/>
      <c r="K1137" s="71"/>
      <c r="L1137" s="71"/>
      <c r="M1137" s="67"/>
    </row>
    <row r="1138" spans="3:53" x14ac:dyDescent="0.25">
      <c r="C1138" s="71"/>
      <c r="K1138" s="71"/>
      <c r="L1138" s="71"/>
      <c r="M1138" s="67"/>
    </row>
    <row r="1139" spans="3:53" x14ac:dyDescent="0.25">
      <c r="C1139" s="71"/>
      <c r="K1139" s="71"/>
      <c r="L1139" s="71"/>
      <c r="M1139" s="67"/>
    </row>
    <row r="1140" spans="3:53" x14ac:dyDescent="0.25">
      <c r="C1140" s="71"/>
      <c r="K1140" s="71"/>
      <c r="L1140" s="71"/>
      <c r="M1140" s="67"/>
    </row>
    <row r="1141" spans="3:53" x14ac:dyDescent="0.25">
      <c r="C1141" s="71"/>
      <c r="K1141" s="71"/>
      <c r="L1141" s="71"/>
      <c r="M1141" s="67"/>
    </row>
    <row r="1142" spans="3:53" x14ac:dyDescent="0.25">
      <c r="C1142" s="71"/>
      <c r="K1142" s="71"/>
      <c r="L1142" s="71"/>
      <c r="M1142" s="67"/>
    </row>
    <row r="1143" spans="3:53" x14ac:dyDescent="0.25">
      <c r="C1143" s="71"/>
      <c r="K1143" s="71"/>
      <c r="L1143" s="71"/>
      <c r="M1143" s="67"/>
    </row>
    <row r="1144" spans="3:53" x14ac:dyDescent="0.25">
      <c r="C1144" s="71"/>
      <c r="K1144" s="71"/>
      <c r="L1144" s="71"/>
      <c r="M1144" s="67"/>
    </row>
    <row r="1145" spans="3:53" x14ac:dyDescent="0.25">
      <c r="C1145" s="71"/>
      <c r="K1145" s="71"/>
      <c r="L1145" s="71"/>
      <c r="M1145" s="67"/>
    </row>
    <row r="1146" spans="3:53" x14ac:dyDescent="0.25">
      <c r="C1146" s="71"/>
      <c r="K1146" s="71"/>
      <c r="L1146" s="71"/>
      <c r="M1146" s="67"/>
      <c r="W1146" s="76"/>
      <c r="X1146" s="57"/>
      <c r="Y1146" s="57"/>
      <c r="Z1146" s="57"/>
      <c r="AA1146" s="57"/>
      <c r="AB1146" s="57"/>
      <c r="AC1146" s="57"/>
      <c r="AD1146" s="57"/>
      <c r="AE1146" s="57"/>
      <c r="AF1146" s="57"/>
      <c r="AG1146" s="57"/>
      <c r="AH1146" s="57"/>
      <c r="AI1146" s="57"/>
      <c r="AJ1146" s="57"/>
      <c r="AK1146" s="57"/>
      <c r="AL1146" s="57"/>
      <c r="AM1146" s="57"/>
      <c r="AN1146" s="57"/>
      <c r="AO1146" s="57"/>
      <c r="AP1146" s="57"/>
      <c r="AQ1146" s="57"/>
      <c r="AR1146" s="57"/>
      <c r="AS1146" s="57"/>
      <c r="AT1146" s="57"/>
      <c r="AU1146" s="57"/>
      <c r="AV1146" s="57"/>
      <c r="AW1146" s="57"/>
      <c r="AX1146" s="57"/>
      <c r="AY1146" s="57"/>
      <c r="AZ1146" s="57"/>
      <c r="BA1146" s="57"/>
    </row>
    <row r="1147" spans="3:53" x14ac:dyDescent="0.25">
      <c r="C1147" s="71"/>
      <c r="K1147" s="71"/>
      <c r="L1147" s="71"/>
      <c r="M1147" s="67"/>
      <c r="W1147" s="76"/>
      <c r="X1147" s="57"/>
      <c r="Y1147" s="57"/>
      <c r="Z1147" s="57"/>
      <c r="AA1147" s="57"/>
      <c r="AB1147" s="57"/>
      <c r="AC1147" s="57"/>
      <c r="AD1147" s="57"/>
      <c r="AE1147" s="57"/>
      <c r="AF1147" s="57"/>
      <c r="AG1147" s="57"/>
      <c r="AH1147" s="57"/>
      <c r="AI1147" s="57"/>
      <c r="AJ1147" s="57"/>
      <c r="AK1147" s="57"/>
      <c r="AL1147" s="57"/>
      <c r="AM1147" s="57"/>
      <c r="AN1147" s="57"/>
      <c r="AO1147" s="57"/>
      <c r="AP1147" s="57"/>
      <c r="AQ1147" s="57"/>
      <c r="AR1147" s="57"/>
      <c r="AS1147" s="57"/>
      <c r="AT1147" s="57"/>
      <c r="AU1147" s="57"/>
      <c r="AV1147" s="57"/>
      <c r="AW1147" s="57"/>
      <c r="AX1147" s="57"/>
      <c r="AY1147" s="57"/>
      <c r="AZ1147" s="57"/>
      <c r="BA1147" s="57"/>
    </row>
    <row r="1148" spans="3:53" x14ac:dyDescent="0.25">
      <c r="C1148" s="71"/>
      <c r="K1148" s="71"/>
      <c r="L1148" s="71"/>
      <c r="M1148" s="67"/>
      <c r="W1148" s="76"/>
      <c r="X1148" s="57"/>
      <c r="Y1148" s="57"/>
      <c r="Z1148" s="57"/>
      <c r="AA1148" s="57"/>
      <c r="AB1148" s="57"/>
      <c r="AC1148" s="57"/>
      <c r="AD1148" s="57"/>
      <c r="AE1148" s="57"/>
      <c r="AF1148" s="57"/>
      <c r="AG1148" s="57"/>
      <c r="AH1148" s="57"/>
      <c r="AI1148" s="57"/>
      <c r="AJ1148" s="57"/>
      <c r="AK1148" s="57"/>
      <c r="AL1148" s="57"/>
      <c r="AM1148" s="57"/>
      <c r="AN1148" s="57"/>
      <c r="AO1148" s="57"/>
      <c r="AP1148" s="57"/>
      <c r="AQ1148" s="57"/>
      <c r="AR1148" s="57"/>
      <c r="AS1148" s="57"/>
      <c r="AT1148" s="57"/>
      <c r="AU1148" s="57"/>
      <c r="AV1148" s="57"/>
      <c r="AW1148" s="57"/>
      <c r="AX1148" s="57"/>
      <c r="AY1148" s="57"/>
      <c r="AZ1148" s="57"/>
      <c r="BA1148" s="57"/>
    </row>
    <row r="1149" spans="3:53" x14ac:dyDescent="0.25">
      <c r="C1149" s="71"/>
      <c r="K1149" s="71"/>
      <c r="L1149" s="71"/>
      <c r="M1149" s="67"/>
      <c r="W1149" s="76"/>
      <c r="X1149" s="57"/>
      <c r="Y1149" s="57"/>
      <c r="Z1149" s="57"/>
      <c r="AA1149" s="57"/>
      <c r="AB1149" s="57"/>
      <c r="AC1149" s="57"/>
      <c r="AD1149" s="57"/>
      <c r="AE1149" s="57"/>
      <c r="AF1149" s="57"/>
      <c r="AG1149" s="57"/>
      <c r="AH1149" s="57"/>
      <c r="AI1149" s="57"/>
      <c r="AJ1149" s="57"/>
      <c r="AK1149" s="57"/>
      <c r="AL1149" s="57"/>
      <c r="AM1149" s="57"/>
      <c r="AN1149" s="57"/>
      <c r="AO1149" s="57"/>
      <c r="AP1149" s="57"/>
      <c r="AQ1149" s="57"/>
      <c r="AR1149" s="57"/>
      <c r="AS1149" s="57"/>
      <c r="AT1149" s="57"/>
      <c r="AU1149" s="57"/>
      <c r="AV1149" s="57"/>
      <c r="AW1149" s="57"/>
      <c r="AX1149" s="57"/>
      <c r="AY1149" s="57"/>
      <c r="AZ1149" s="57"/>
      <c r="BA1149" s="57"/>
    </row>
    <row r="1150" spans="3:53" x14ac:dyDescent="0.25">
      <c r="C1150" s="71"/>
      <c r="K1150" s="71"/>
      <c r="L1150" s="71"/>
      <c r="M1150" s="67"/>
      <c r="W1150" s="76"/>
      <c r="X1150" s="57"/>
      <c r="Y1150" s="57"/>
      <c r="Z1150" s="57"/>
      <c r="AA1150" s="57"/>
      <c r="AB1150" s="57"/>
      <c r="AC1150" s="57"/>
      <c r="AD1150" s="57"/>
      <c r="AE1150" s="57"/>
      <c r="AF1150" s="57"/>
      <c r="AG1150" s="57"/>
      <c r="AH1150" s="57"/>
      <c r="AI1150" s="57"/>
      <c r="AJ1150" s="57"/>
      <c r="AK1150" s="57"/>
      <c r="AL1150" s="57"/>
      <c r="AM1150" s="57"/>
      <c r="AN1150" s="57"/>
      <c r="AO1150" s="57"/>
      <c r="AP1150" s="57"/>
      <c r="AQ1150" s="57"/>
      <c r="AR1150" s="57"/>
      <c r="AS1150" s="57"/>
      <c r="AT1150" s="57"/>
      <c r="AU1150" s="57"/>
      <c r="AV1150" s="57"/>
      <c r="AW1150" s="57"/>
      <c r="AX1150" s="57"/>
      <c r="AY1150" s="57"/>
      <c r="AZ1150" s="57"/>
      <c r="BA1150" s="57"/>
    </row>
    <row r="1151" spans="3:53" x14ac:dyDescent="0.25">
      <c r="C1151" s="71"/>
      <c r="K1151" s="71"/>
      <c r="L1151" s="71"/>
      <c r="M1151" s="67"/>
      <c r="W1151" s="76"/>
      <c r="X1151" s="57"/>
      <c r="Y1151" s="57"/>
      <c r="Z1151" s="57"/>
      <c r="AA1151" s="57"/>
      <c r="AB1151" s="57"/>
      <c r="AC1151" s="57"/>
      <c r="AD1151" s="57"/>
      <c r="AE1151" s="57"/>
      <c r="AF1151" s="57"/>
      <c r="AG1151" s="57"/>
      <c r="AH1151" s="57"/>
      <c r="AI1151" s="57"/>
      <c r="AJ1151" s="57"/>
      <c r="AK1151" s="57"/>
      <c r="AL1151" s="57"/>
      <c r="AM1151" s="57"/>
      <c r="AN1151" s="57"/>
      <c r="AO1151" s="57"/>
      <c r="AP1151" s="57"/>
      <c r="AQ1151" s="57"/>
      <c r="AR1151" s="57"/>
      <c r="AS1151" s="57"/>
      <c r="AT1151" s="57"/>
      <c r="AU1151" s="57"/>
      <c r="AV1151" s="57"/>
      <c r="AW1151" s="57"/>
      <c r="AX1151" s="57"/>
      <c r="AY1151" s="57"/>
      <c r="AZ1151" s="57"/>
      <c r="BA1151" s="57"/>
    </row>
    <row r="1152" spans="3:53" x14ac:dyDescent="0.25">
      <c r="C1152" s="71"/>
      <c r="K1152" s="71"/>
      <c r="L1152" s="71"/>
      <c r="M1152" s="67"/>
      <c r="W1152" s="76"/>
      <c r="X1152" s="57"/>
      <c r="Y1152" s="57"/>
      <c r="Z1152" s="57"/>
      <c r="AA1152" s="57"/>
      <c r="AB1152" s="57"/>
      <c r="AC1152" s="57"/>
      <c r="AD1152" s="57"/>
      <c r="AE1152" s="57"/>
      <c r="AF1152" s="57"/>
      <c r="AG1152" s="57"/>
      <c r="AH1152" s="57"/>
      <c r="AI1152" s="57"/>
      <c r="AJ1152" s="57"/>
      <c r="AK1152" s="57"/>
      <c r="AL1152" s="57"/>
      <c r="AM1152" s="57"/>
      <c r="AN1152" s="57"/>
      <c r="AO1152" s="57"/>
      <c r="AP1152" s="57"/>
      <c r="AQ1152" s="57"/>
      <c r="AR1152" s="57"/>
      <c r="AS1152" s="57"/>
      <c r="AT1152" s="57"/>
      <c r="AU1152" s="57"/>
      <c r="AV1152" s="57"/>
      <c r="AW1152" s="57"/>
      <c r="AX1152" s="57"/>
      <c r="AY1152" s="57"/>
      <c r="AZ1152" s="57"/>
      <c r="BA1152" s="57"/>
    </row>
    <row r="1153" spans="3:53" x14ac:dyDescent="0.25">
      <c r="C1153" s="71"/>
      <c r="K1153" s="71"/>
      <c r="L1153" s="71"/>
      <c r="M1153" s="67"/>
      <c r="W1153" s="76"/>
      <c r="X1153" s="57"/>
      <c r="Y1153" s="57"/>
      <c r="Z1153" s="57"/>
      <c r="AA1153" s="57"/>
      <c r="AB1153" s="57"/>
      <c r="AC1153" s="57"/>
      <c r="AD1153" s="57"/>
      <c r="AE1153" s="57"/>
      <c r="AF1153" s="57"/>
      <c r="AG1153" s="57"/>
      <c r="AH1153" s="57"/>
      <c r="AI1153" s="57"/>
      <c r="AJ1153" s="57"/>
      <c r="AK1153" s="57"/>
      <c r="AL1153" s="57"/>
      <c r="AM1153" s="57"/>
      <c r="AN1153" s="57"/>
      <c r="AO1153" s="57"/>
      <c r="AP1153" s="57"/>
      <c r="AQ1153" s="57"/>
      <c r="AR1153" s="57"/>
      <c r="AS1153" s="57"/>
      <c r="AT1153" s="57"/>
      <c r="AU1153" s="57"/>
      <c r="AV1153" s="57"/>
      <c r="AW1153" s="57"/>
      <c r="AX1153" s="57"/>
      <c r="AY1153" s="57"/>
      <c r="AZ1153" s="57"/>
      <c r="BA1153" s="57"/>
    </row>
    <row r="1154" spans="3:53" x14ac:dyDescent="0.25">
      <c r="C1154" s="71"/>
      <c r="K1154" s="71"/>
      <c r="L1154" s="71"/>
      <c r="M1154" s="67"/>
      <c r="W1154" s="76"/>
      <c r="X1154" s="57"/>
      <c r="Y1154" s="57"/>
      <c r="Z1154" s="57"/>
      <c r="AA1154" s="57"/>
      <c r="AB1154" s="57"/>
      <c r="AC1154" s="57"/>
      <c r="AD1154" s="57"/>
      <c r="AE1154" s="57"/>
      <c r="AF1154" s="57"/>
      <c r="AG1154" s="57"/>
      <c r="AH1154" s="57"/>
      <c r="AI1154" s="57"/>
      <c r="AJ1154" s="57"/>
      <c r="AK1154" s="57"/>
      <c r="AL1154" s="57"/>
      <c r="AM1154" s="57"/>
      <c r="AN1154" s="57"/>
      <c r="AO1154" s="57"/>
      <c r="AP1154" s="57"/>
      <c r="AQ1154" s="57"/>
      <c r="AR1154" s="57"/>
      <c r="AS1154" s="57"/>
      <c r="AT1154" s="57"/>
      <c r="AU1154" s="57"/>
      <c r="AV1154" s="57"/>
      <c r="AW1154" s="57"/>
      <c r="AX1154" s="57"/>
      <c r="AY1154" s="57"/>
      <c r="AZ1154" s="57"/>
      <c r="BA1154" s="57"/>
    </row>
    <row r="1155" spans="3:53" x14ac:dyDescent="0.25">
      <c r="C1155" s="71"/>
      <c r="K1155" s="71"/>
      <c r="L1155" s="71"/>
      <c r="M1155" s="67"/>
      <c r="W1155" s="76"/>
      <c r="X1155" s="57"/>
      <c r="Y1155" s="57"/>
      <c r="Z1155" s="57"/>
      <c r="AA1155" s="57"/>
      <c r="AB1155" s="57"/>
      <c r="AC1155" s="57"/>
      <c r="AD1155" s="57"/>
      <c r="AE1155" s="57"/>
      <c r="AF1155" s="57"/>
      <c r="AG1155" s="57"/>
      <c r="AH1155" s="57"/>
      <c r="AI1155" s="57"/>
      <c r="AJ1155" s="57"/>
      <c r="AK1155" s="57"/>
      <c r="AL1155" s="57"/>
      <c r="AM1155" s="57"/>
      <c r="AN1155" s="57"/>
      <c r="AO1155" s="57"/>
      <c r="AP1155" s="57"/>
      <c r="AQ1155" s="57"/>
      <c r="AR1155" s="57"/>
      <c r="AS1155" s="57"/>
      <c r="AT1155" s="57"/>
      <c r="AU1155" s="57"/>
      <c r="AV1155" s="57"/>
      <c r="AW1155" s="57"/>
      <c r="AX1155" s="57"/>
      <c r="AY1155" s="57"/>
      <c r="AZ1155" s="57"/>
      <c r="BA1155" s="57"/>
    </row>
    <row r="1156" spans="3:53" x14ac:dyDescent="0.25">
      <c r="C1156" s="71"/>
      <c r="K1156" s="71"/>
      <c r="L1156" s="71"/>
      <c r="M1156" s="67"/>
      <c r="W1156" s="76"/>
      <c r="X1156" s="57"/>
      <c r="Y1156" s="57"/>
      <c r="Z1156" s="57"/>
      <c r="AA1156" s="57"/>
      <c r="AB1156" s="57"/>
      <c r="AC1156" s="57"/>
      <c r="AD1156" s="57"/>
      <c r="AE1156" s="57"/>
      <c r="AF1156" s="57"/>
      <c r="AG1156" s="57"/>
      <c r="AH1156" s="57"/>
      <c r="AI1156" s="57"/>
      <c r="AJ1156" s="57"/>
      <c r="AK1156" s="57"/>
      <c r="AL1156" s="57"/>
      <c r="AM1156" s="57"/>
      <c r="AN1156" s="57"/>
      <c r="AO1156" s="57"/>
      <c r="AP1156" s="57"/>
      <c r="AQ1156" s="57"/>
      <c r="AR1156" s="57"/>
      <c r="AS1156" s="57"/>
      <c r="AT1156" s="57"/>
      <c r="AU1156" s="57"/>
      <c r="AV1156" s="57"/>
      <c r="AW1156" s="57"/>
      <c r="AX1156" s="57"/>
      <c r="AY1156" s="57"/>
      <c r="AZ1156" s="57"/>
      <c r="BA1156" s="57"/>
    </row>
    <row r="1157" spans="3:53" x14ac:dyDescent="0.25">
      <c r="C1157" s="71"/>
      <c r="K1157" s="71"/>
      <c r="L1157" s="71"/>
      <c r="M1157" s="67"/>
      <c r="W1157" s="76"/>
      <c r="X1157" s="57"/>
      <c r="Y1157" s="57"/>
      <c r="Z1157" s="57"/>
      <c r="AA1157" s="57"/>
      <c r="AB1157" s="57"/>
      <c r="AC1157" s="57"/>
      <c r="AD1157" s="57"/>
      <c r="AE1157" s="57"/>
      <c r="AF1157" s="57"/>
      <c r="AG1157" s="57"/>
      <c r="AH1157" s="57"/>
      <c r="AI1157" s="57"/>
      <c r="AJ1157" s="57"/>
      <c r="AK1157" s="57"/>
      <c r="AL1157" s="57"/>
      <c r="AM1157" s="57"/>
      <c r="AN1157" s="57"/>
      <c r="AO1157" s="57"/>
      <c r="AP1157" s="57"/>
      <c r="AQ1157" s="57"/>
      <c r="AR1157" s="57"/>
      <c r="AS1157" s="57"/>
      <c r="AT1157" s="57"/>
      <c r="AU1157" s="57"/>
      <c r="AV1157" s="57"/>
      <c r="AW1157" s="57"/>
      <c r="AX1157" s="57"/>
      <c r="AY1157" s="57"/>
      <c r="AZ1157" s="57"/>
      <c r="BA1157" s="57"/>
    </row>
    <row r="1158" spans="3:53" x14ac:dyDescent="0.25">
      <c r="C1158" s="71"/>
      <c r="K1158" s="71"/>
      <c r="L1158" s="71"/>
      <c r="M1158" s="67"/>
      <c r="W1158" s="76"/>
      <c r="X1158" s="57"/>
      <c r="Y1158" s="57"/>
      <c r="Z1158" s="57"/>
      <c r="AA1158" s="57"/>
      <c r="AB1158" s="57"/>
      <c r="AC1158" s="57"/>
      <c r="AD1158" s="57"/>
      <c r="AE1158" s="57"/>
      <c r="AF1158" s="57"/>
      <c r="AG1158" s="57"/>
      <c r="AH1158" s="57"/>
      <c r="AI1158" s="57"/>
      <c r="AJ1158" s="57"/>
      <c r="AK1158" s="57"/>
      <c r="AL1158" s="57"/>
      <c r="AM1158" s="57"/>
      <c r="AN1158" s="57"/>
      <c r="AO1158" s="57"/>
      <c r="AP1158" s="57"/>
      <c r="AQ1158" s="57"/>
      <c r="AR1158" s="57"/>
      <c r="AS1158" s="57"/>
      <c r="AT1158" s="57"/>
      <c r="AU1158" s="57"/>
      <c r="AV1158" s="57"/>
      <c r="AW1158" s="57"/>
      <c r="AX1158" s="57"/>
      <c r="AY1158" s="57"/>
      <c r="AZ1158" s="57"/>
      <c r="BA1158" s="57"/>
    </row>
    <row r="1159" spans="3:53" x14ac:dyDescent="0.25">
      <c r="C1159" s="71"/>
      <c r="K1159" s="71"/>
      <c r="L1159" s="71"/>
      <c r="M1159" s="67"/>
      <c r="W1159" s="76"/>
      <c r="X1159" s="57"/>
      <c r="Y1159" s="57"/>
      <c r="Z1159" s="57"/>
      <c r="AA1159" s="57"/>
      <c r="AB1159" s="57"/>
      <c r="AC1159" s="57"/>
      <c r="AD1159" s="57"/>
      <c r="AE1159" s="57"/>
      <c r="AF1159" s="57"/>
      <c r="AG1159" s="57"/>
      <c r="AH1159" s="57"/>
      <c r="AI1159" s="57"/>
      <c r="AJ1159" s="57"/>
      <c r="AK1159" s="57"/>
      <c r="AL1159" s="57"/>
      <c r="AM1159" s="57"/>
      <c r="AN1159" s="57"/>
      <c r="AO1159" s="57"/>
      <c r="AP1159" s="57"/>
      <c r="AQ1159" s="57"/>
      <c r="AR1159" s="57"/>
      <c r="AS1159" s="57"/>
      <c r="AT1159" s="57"/>
      <c r="AU1159" s="57"/>
      <c r="AV1159" s="57"/>
      <c r="AW1159" s="57"/>
      <c r="AX1159" s="57"/>
      <c r="AY1159" s="57"/>
      <c r="AZ1159" s="57"/>
      <c r="BA1159" s="57"/>
    </row>
    <row r="1160" spans="3:53" x14ac:dyDescent="0.25">
      <c r="C1160" s="71"/>
      <c r="K1160" s="71"/>
      <c r="L1160" s="71"/>
      <c r="M1160" s="67"/>
      <c r="W1160" s="76"/>
      <c r="X1160" s="57"/>
      <c r="Y1160" s="57"/>
      <c r="Z1160" s="57"/>
      <c r="AA1160" s="57"/>
      <c r="AB1160" s="57"/>
      <c r="AC1160" s="57"/>
      <c r="AD1160" s="57"/>
      <c r="AE1160" s="57"/>
      <c r="AF1160" s="57"/>
      <c r="AG1160" s="57"/>
      <c r="AH1160" s="57"/>
      <c r="AI1160" s="57"/>
      <c r="AJ1160" s="57"/>
      <c r="AK1160" s="57"/>
      <c r="AL1160" s="57"/>
      <c r="AM1160" s="57"/>
      <c r="AN1160" s="57"/>
      <c r="AO1160" s="57"/>
      <c r="AP1160" s="57"/>
      <c r="AQ1160" s="57"/>
      <c r="AR1160" s="57"/>
      <c r="AS1160" s="57"/>
      <c r="AT1160" s="57"/>
      <c r="AU1160" s="57"/>
      <c r="AV1160" s="57"/>
      <c r="AW1160" s="57"/>
      <c r="AX1160" s="57"/>
      <c r="AY1160" s="57"/>
      <c r="AZ1160" s="57"/>
      <c r="BA1160" s="57"/>
    </row>
    <row r="1161" spans="3:53" x14ac:dyDescent="0.25">
      <c r="C1161" s="71"/>
      <c r="K1161" s="71"/>
      <c r="L1161" s="71"/>
      <c r="M1161" s="67"/>
      <c r="W1161" s="76"/>
      <c r="X1161" s="57"/>
      <c r="Y1161" s="57"/>
      <c r="Z1161" s="57"/>
      <c r="AA1161" s="57"/>
      <c r="AB1161" s="57"/>
      <c r="AC1161" s="57"/>
      <c r="AD1161" s="57"/>
      <c r="AE1161" s="57"/>
      <c r="AF1161" s="57"/>
      <c r="AG1161" s="57"/>
      <c r="AH1161" s="57"/>
      <c r="AI1161" s="57"/>
      <c r="AJ1161" s="57"/>
      <c r="AK1161" s="57"/>
      <c r="AL1161" s="57"/>
      <c r="AM1161" s="57"/>
      <c r="AN1161" s="57"/>
      <c r="AO1161" s="57"/>
      <c r="AP1161" s="57"/>
      <c r="AQ1161" s="57"/>
      <c r="AR1161" s="57"/>
      <c r="AS1161" s="57"/>
      <c r="AT1161" s="57"/>
      <c r="AU1161" s="57"/>
      <c r="AV1161" s="57"/>
      <c r="AW1161" s="57"/>
      <c r="AX1161" s="57"/>
      <c r="AY1161" s="57"/>
      <c r="AZ1161" s="57"/>
      <c r="BA1161" s="57"/>
    </row>
    <row r="1162" spans="3:53" x14ac:dyDescent="0.25">
      <c r="C1162" s="71"/>
      <c r="K1162" s="71"/>
      <c r="L1162" s="71"/>
      <c r="M1162" s="67"/>
      <c r="W1162" s="76"/>
      <c r="X1162" s="57"/>
      <c r="Y1162" s="57"/>
      <c r="Z1162" s="57"/>
      <c r="AA1162" s="57"/>
      <c r="AB1162" s="57"/>
      <c r="AC1162" s="57"/>
      <c r="AD1162" s="57"/>
      <c r="AE1162" s="57"/>
      <c r="AF1162" s="57"/>
      <c r="AG1162" s="57"/>
      <c r="AH1162" s="57"/>
      <c r="AI1162" s="57"/>
      <c r="AJ1162" s="57"/>
      <c r="AK1162" s="57"/>
      <c r="AL1162" s="57"/>
      <c r="AM1162" s="57"/>
      <c r="AN1162" s="57"/>
      <c r="AO1162" s="57"/>
      <c r="AP1162" s="57"/>
      <c r="AQ1162" s="57"/>
      <c r="AR1162" s="57"/>
      <c r="AS1162" s="57"/>
      <c r="AT1162" s="57"/>
      <c r="AU1162" s="57"/>
      <c r="AV1162" s="57"/>
      <c r="AW1162" s="57"/>
      <c r="AX1162" s="57"/>
      <c r="AY1162" s="57"/>
      <c r="AZ1162" s="57"/>
      <c r="BA1162" s="57"/>
    </row>
    <row r="1163" spans="3:53" x14ac:dyDescent="0.25">
      <c r="C1163" s="71"/>
      <c r="K1163" s="71"/>
      <c r="L1163" s="71"/>
      <c r="M1163" s="67"/>
      <c r="W1163" s="76"/>
      <c r="X1163" s="57"/>
      <c r="Y1163" s="57"/>
      <c r="Z1163" s="57"/>
      <c r="AA1163" s="57"/>
      <c r="AB1163" s="57"/>
      <c r="AC1163" s="57"/>
      <c r="AD1163" s="57"/>
      <c r="AE1163" s="57"/>
      <c r="AF1163" s="57"/>
      <c r="AG1163" s="57"/>
      <c r="AH1163" s="57"/>
      <c r="AI1163" s="57"/>
      <c r="AJ1163" s="57"/>
      <c r="AK1163" s="57"/>
      <c r="AL1163" s="57"/>
      <c r="AM1163" s="57"/>
      <c r="AN1163" s="57"/>
      <c r="AO1163" s="57"/>
      <c r="AP1163" s="57"/>
      <c r="AQ1163" s="57"/>
      <c r="AR1163" s="57"/>
      <c r="AS1163" s="57"/>
      <c r="AT1163" s="57"/>
      <c r="AU1163" s="57"/>
      <c r="AV1163" s="57"/>
      <c r="AW1163" s="57"/>
      <c r="AX1163" s="57"/>
      <c r="AY1163" s="57"/>
      <c r="AZ1163" s="57"/>
      <c r="BA1163" s="57"/>
    </row>
    <row r="1164" spans="3:53" x14ac:dyDescent="0.25">
      <c r="C1164" s="71"/>
      <c r="K1164" s="71"/>
      <c r="L1164" s="71"/>
      <c r="M1164" s="67"/>
      <c r="W1164" s="76"/>
      <c r="X1164" s="57"/>
      <c r="Y1164" s="57"/>
      <c r="Z1164" s="57"/>
      <c r="AA1164" s="57"/>
      <c r="AB1164" s="57"/>
      <c r="AC1164" s="57"/>
      <c r="AD1164" s="57"/>
      <c r="AE1164" s="57"/>
      <c r="AF1164" s="57"/>
      <c r="AG1164" s="57"/>
      <c r="AH1164" s="57"/>
      <c r="AI1164" s="57"/>
      <c r="AJ1164" s="57"/>
      <c r="AK1164" s="57"/>
      <c r="AL1164" s="57"/>
      <c r="AM1164" s="57"/>
      <c r="AN1164" s="57"/>
      <c r="AO1164" s="57"/>
      <c r="AP1164" s="57"/>
      <c r="AQ1164" s="57"/>
      <c r="AR1164" s="57"/>
      <c r="AS1164" s="57"/>
      <c r="AT1164" s="57"/>
      <c r="AU1164" s="57"/>
      <c r="AV1164" s="57"/>
      <c r="AW1164" s="57"/>
      <c r="AX1164" s="57"/>
      <c r="AY1164" s="57"/>
      <c r="AZ1164" s="57"/>
      <c r="BA1164" s="57"/>
    </row>
    <row r="1165" spans="3:53" x14ac:dyDescent="0.25">
      <c r="C1165" s="71"/>
      <c r="K1165" s="71"/>
      <c r="L1165" s="71"/>
      <c r="M1165" s="67"/>
      <c r="W1165" s="76"/>
      <c r="X1165" s="57"/>
      <c r="Y1165" s="57"/>
      <c r="Z1165" s="57"/>
      <c r="AA1165" s="57"/>
      <c r="AB1165" s="57"/>
      <c r="AC1165" s="57"/>
      <c r="AD1165" s="57"/>
      <c r="AE1165" s="57"/>
      <c r="AF1165" s="57"/>
      <c r="AG1165" s="57"/>
      <c r="AH1165" s="57"/>
      <c r="AI1165" s="57"/>
      <c r="AJ1165" s="57"/>
      <c r="AK1165" s="57"/>
      <c r="AL1165" s="57"/>
      <c r="AM1165" s="57"/>
      <c r="AN1165" s="57"/>
      <c r="AO1165" s="57"/>
      <c r="AP1165" s="57"/>
      <c r="AQ1165" s="57"/>
      <c r="AR1165" s="57"/>
      <c r="AS1165" s="57"/>
      <c r="AT1165" s="57"/>
      <c r="AU1165" s="57"/>
      <c r="AV1165" s="57"/>
      <c r="AW1165" s="57"/>
      <c r="AX1165" s="57"/>
      <c r="AY1165" s="57"/>
      <c r="AZ1165" s="57"/>
      <c r="BA1165" s="57"/>
    </row>
    <row r="1166" spans="3:53" x14ac:dyDescent="0.25">
      <c r="C1166" s="71"/>
      <c r="K1166" s="71"/>
      <c r="L1166" s="71"/>
      <c r="M1166" s="67"/>
      <c r="W1166" s="76"/>
      <c r="X1166" s="57"/>
      <c r="Y1166" s="57"/>
      <c r="Z1166" s="57"/>
      <c r="AA1166" s="57"/>
      <c r="AB1166" s="57"/>
      <c r="AC1166" s="57"/>
      <c r="AD1166" s="57"/>
      <c r="AE1166" s="57"/>
      <c r="AF1166" s="57"/>
      <c r="AG1166" s="57"/>
      <c r="AH1166" s="57"/>
      <c r="AI1166" s="57"/>
      <c r="AJ1166" s="57"/>
      <c r="AK1166" s="57"/>
      <c r="AL1166" s="57"/>
      <c r="AM1166" s="57"/>
      <c r="AN1166" s="57"/>
      <c r="AO1166" s="57"/>
      <c r="AP1166" s="57"/>
      <c r="AQ1166" s="57"/>
      <c r="AR1166" s="57"/>
      <c r="AS1166" s="57"/>
      <c r="AT1166" s="57"/>
      <c r="AU1166" s="57"/>
      <c r="AV1166" s="57"/>
      <c r="AW1166" s="57"/>
      <c r="AX1166" s="57"/>
      <c r="AY1166" s="57"/>
      <c r="AZ1166" s="57"/>
      <c r="BA1166" s="57"/>
    </row>
    <row r="1167" spans="3:53" x14ac:dyDescent="0.25">
      <c r="C1167" s="71"/>
      <c r="K1167" s="71"/>
      <c r="L1167" s="71"/>
      <c r="M1167" s="67"/>
      <c r="W1167" s="76"/>
      <c r="X1167" s="57"/>
      <c r="Y1167" s="57"/>
      <c r="Z1167" s="57"/>
      <c r="AA1167" s="57"/>
      <c r="AB1167" s="57"/>
      <c r="AC1167" s="57"/>
      <c r="AD1167" s="57"/>
      <c r="AE1167" s="57"/>
      <c r="AF1167" s="57"/>
      <c r="AG1167" s="57"/>
      <c r="AH1167" s="57"/>
      <c r="AI1167" s="57"/>
      <c r="AJ1167" s="57"/>
      <c r="AK1167" s="57"/>
      <c r="AL1167" s="57"/>
      <c r="AM1167" s="57"/>
      <c r="AN1167" s="57"/>
      <c r="AO1167" s="57"/>
      <c r="AP1167" s="57"/>
      <c r="AQ1167" s="57"/>
      <c r="AR1167" s="57"/>
      <c r="AS1167" s="57"/>
      <c r="AT1167" s="57"/>
      <c r="AU1167" s="57"/>
      <c r="AV1167" s="57"/>
      <c r="AW1167" s="57"/>
      <c r="AX1167" s="57"/>
      <c r="AY1167" s="57"/>
      <c r="AZ1167" s="57"/>
      <c r="BA1167" s="57"/>
    </row>
    <row r="1168" spans="3:53" x14ac:dyDescent="0.25">
      <c r="C1168" s="71"/>
      <c r="K1168" s="71"/>
      <c r="L1168" s="71"/>
      <c r="M1168" s="67"/>
      <c r="W1168" s="76"/>
      <c r="X1168" s="57"/>
      <c r="Y1168" s="57"/>
      <c r="Z1168" s="57"/>
      <c r="AA1168" s="57"/>
      <c r="AB1168" s="57"/>
      <c r="AC1168" s="57"/>
      <c r="AD1168" s="57"/>
      <c r="AE1168" s="57"/>
      <c r="AF1168" s="57"/>
      <c r="AG1168" s="57"/>
      <c r="AH1168" s="57"/>
      <c r="AI1168" s="57"/>
      <c r="AJ1168" s="57"/>
      <c r="AK1168" s="57"/>
      <c r="AL1168" s="57"/>
      <c r="AM1168" s="57"/>
      <c r="AN1168" s="57"/>
      <c r="AO1168" s="57"/>
      <c r="AP1168" s="57"/>
      <c r="AQ1168" s="57"/>
      <c r="AR1168" s="57"/>
      <c r="AS1168" s="57"/>
      <c r="AT1168" s="57"/>
      <c r="AU1168" s="57"/>
      <c r="AV1168" s="57"/>
      <c r="AW1168" s="57"/>
      <c r="AX1168" s="57"/>
      <c r="AY1168" s="57"/>
      <c r="AZ1168" s="57"/>
      <c r="BA1168" s="57"/>
    </row>
    <row r="1169" spans="3:53" x14ac:dyDescent="0.25">
      <c r="C1169" s="71"/>
      <c r="K1169" s="71"/>
      <c r="L1169" s="71"/>
      <c r="M1169" s="67"/>
      <c r="W1169" s="76"/>
      <c r="X1169" s="57"/>
      <c r="Y1169" s="57"/>
      <c r="Z1169" s="57"/>
      <c r="AA1169" s="57"/>
      <c r="AB1169" s="57"/>
      <c r="AC1169" s="57"/>
      <c r="AD1169" s="57"/>
      <c r="AE1169" s="57"/>
      <c r="AF1169" s="57"/>
      <c r="AG1169" s="57"/>
      <c r="AH1169" s="57"/>
      <c r="AI1169" s="57"/>
      <c r="AJ1169" s="57"/>
      <c r="AK1169" s="57"/>
      <c r="AL1169" s="57"/>
      <c r="AM1169" s="57"/>
      <c r="AN1169" s="57"/>
      <c r="AO1169" s="57"/>
      <c r="AP1169" s="57"/>
      <c r="AQ1169" s="57"/>
      <c r="AR1169" s="57"/>
      <c r="AS1169" s="57"/>
      <c r="AT1169" s="57"/>
      <c r="AU1169" s="57"/>
      <c r="AV1169" s="57"/>
      <c r="AW1169" s="57"/>
      <c r="AX1169" s="57"/>
      <c r="AY1169" s="57"/>
      <c r="AZ1169" s="57"/>
      <c r="BA1169" s="57"/>
    </row>
    <row r="1170" spans="3:53" x14ac:dyDescent="0.25">
      <c r="C1170" s="71"/>
      <c r="K1170" s="71"/>
      <c r="L1170" s="71"/>
      <c r="M1170" s="67"/>
      <c r="W1170" s="76"/>
      <c r="X1170" s="57"/>
      <c r="Y1170" s="57"/>
      <c r="Z1170" s="57"/>
      <c r="AA1170" s="57"/>
      <c r="AB1170" s="57"/>
      <c r="AC1170" s="57"/>
      <c r="AD1170" s="57"/>
      <c r="AE1170" s="57"/>
      <c r="AF1170" s="57"/>
      <c r="AG1170" s="57"/>
      <c r="AH1170" s="57"/>
      <c r="AI1170" s="57"/>
      <c r="AJ1170" s="57"/>
      <c r="AK1170" s="57"/>
      <c r="AL1170" s="57"/>
      <c r="AM1170" s="57"/>
      <c r="AN1170" s="57"/>
      <c r="AO1170" s="57"/>
      <c r="AP1170" s="57"/>
      <c r="AQ1170" s="57"/>
      <c r="AR1170" s="57"/>
      <c r="AS1170" s="57"/>
      <c r="AT1170" s="57"/>
      <c r="AU1170" s="57"/>
      <c r="AV1170" s="57"/>
      <c r="AW1170" s="57"/>
      <c r="AX1170" s="57"/>
      <c r="AY1170" s="57"/>
      <c r="AZ1170" s="57"/>
      <c r="BA1170" s="57"/>
    </row>
    <row r="1171" spans="3:53" x14ac:dyDescent="0.25">
      <c r="C1171" s="71"/>
      <c r="K1171" s="71"/>
      <c r="L1171" s="71"/>
      <c r="M1171" s="67"/>
      <c r="W1171" s="76"/>
      <c r="X1171" s="57"/>
      <c r="Y1171" s="57"/>
      <c r="Z1171" s="57"/>
      <c r="AA1171" s="57"/>
      <c r="AB1171" s="57"/>
      <c r="AC1171" s="57"/>
      <c r="AD1171" s="57"/>
      <c r="AE1171" s="57"/>
      <c r="AF1171" s="57"/>
      <c r="AG1171" s="57"/>
      <c r="AH1171" s="57"/>
      <c r="AI1171" s="57"/>
      <c r="AJ1171" s="57"/>
      <c r="AK1171" s="57"/>
      <c r="AL1171" s="57"/>
      <c r="AM1171" s="57"/>
      <c r="AN1171" s="57"/>
      <c r="AO1171" s="57"/>
      <c r="AP1171" s="57"/>
      <c r="AQ1171" s="57"/>
      <c r="AR1171" s="57"/>
      <c r="AS1171" s="57"/>
      <c r="AT1171" s="57"/>
      <c r="AU1171" s="57"/>
      <c r="AV1171" s="57"/>
      <c r="AW1171" s="57"/>
      <c r="AX1171" s="57"/>
      <c r="AY1171" s="57"/>
      <c r="AZ1171" s="57"/>
      <c r="BA1171" s="57"/>
    </row>
    <row r="1172" spans="3:53" x14ac:dyDescent="0.25">
      <c r="C1172" s="71"/>
      <c r="K1172" s="71"/>
      <c r="L1172" s="71"/>
      <c r="M1172" s="67"/>
      <c r="W1172" s="76"/>
      <c r="X1172" s="57"/>
      <c r="Y1172" s="57"/>
      <c r="Z1172" s="57"/>
      <c r="AA1172" s="57"/>
      <c r="AB1172" s="57"/>
      <c r="AC1172" s="57"/>
      <c r="AD1172" s="57"/>
      <c r="AE1172" s="57"/>
      <c r="AF1172" s="57"/>
      <c r="AG1172" s="57"/>
      <c r="AH1172" s="57"/>
      <c r="AI1172" s="57"/>
      <c r="AJ1172" s="57"/>
      <c r="AK1172" s="57"/>
      <c r="AL1172" s="57"/>
      <c r="AM1172" s="57"/>
      <c r="AN1172" s="57"/>
      <c r="AO1172" s="57"/>
      <c r="AP1172" s="57"/>
      <c r="AQ1172" s="57"/>
      <c r="AR1172" s="57"/>
      <c r="AS1172" s="57"/>
      <c r="AT1172" s="57"/>
      <c r="AU1172" s="57"/>
      <c r="AV1172" s="57"/>
      <c r="AW1172" s="57"/>
      <c r="AX1172" s="57"/>
      <c r="AY1172" s="57"/>
      <c r="AZ1172" s="57"/>
      <c r="BA1172" s="57"/>
    </row>
    <row r="1173" spans="3:53" x14ac:dyDescent="0.25">
      <c r="C1173" s="71"/>
      <c r="K1173" s="71"/>
      <c r="L1173" s="71"/>
      <c r="M1173" s="67"/>
      <c r="W1173" s="76"/>
      <c r="X1173" s="57"/>
      <c r="Y1173" s="57"/>
      <c r="Z1173" s="57"/>
      <c r="AA1173" s="57"/>
      <c r="AB1173" s="57"/>
      <c r="AC1173" s="57"/>
      <c r="AD1173" s="57"/>
      <c r="AE1173" s="57"/>
      <c r="AF1173" s="57"/>
      <c r="AG1173" s="57"/>
      <c r="AH1173" s="57"/>
      <c r="AI1173" s="57"/>
      <c r="AJ1173" s="57"/>
      <c r="AK1173" s="57"/>
      <c r="AL1173" s="57"/>
      <c r="AM1173" s="57"/>
      <c r="AN1173" s="57"/>
      <c r="AO1173" s="57"/>
      <c r="AP1173" s="57"/>
      <c r="AQ1173" s="57"/>
      <c r="AR1173" s="57"/>
      <c r="AS1173" s="57"/>
      <c r="AT1173" s="57"/>
      <c r="AU1173" s="57"/>
      <c r="AV1173" s="57"/>
      <c r="AW1173" s="57"/>
      <c r="AX1173" s="57"/>
      <c r="AY1173" s="57"/>
      <c r="AZ1173" s="57"/>
      <c r="BA1173" s="57"/>
    </row>
    <row r="1174" spans="3:53" x14ac:dyDescent="0.25">
      <c r="C1174" s="71"/>
      <c r="K1174" s="71"/>
      <c r="L1174" s="71"/>
      <c r="M1174" s="67"/>
      <c r="W1174" s="76"/>
      <c r="X1174" s="57"/>
      <c r="Y1174" s="57"/>
      <c r="Z1174" s="57"/>
      <c r="AA1174" s="57"/>
      <c r="AB1174" s="57"/>
      <c r="AC1174" s="57"/>
      <c r="AD1174" s="57"/>
      <c r="AE1174" s="57"/>
      <c r="AF1174" s="57"/>
      <c r="AG1174" s="57"/>
      <c r="AH1174" s="57"/>
      <c r="AI1174" s="57"/>
      <c r="AJ1174" s="57"/>
      <c r="AK1174" s="57"/>
      <c r="AL1174" s="57"/>
      <c r="AM1174" s="57"/>
      <c r="AN1174" s="57"/>
      <c r="AO1174" s="57"/>
      <c r="AP1174" s="57"/>
      <c r="AQ1174" s="57"/>
      <c r="AR1174" s="57"/>
      <c r="AS1174" s="57"/>
      <c r="AT1174" s="57"/>
      <c r="AU1174" s="57"/>
      <c r="AV1174" s="57"/>
      <c r="AW1174" s="57"/>
      <c r="AX1174" s="57"/>
      <c r="AY1174" s="57"/>
      <c r="AZ1174" s="57"/>
      <c r="BA1174" s="57"/>
    </row>
    <row r="1175" spans="3:53" x14ac:dyDescent="0.25">
      <c r="C1175" s="71"/>
      <c r="K1175" s="71"/>
      <c r="L1175" s="71"/>
      <c r="M1175" s="67"/>
      <c r="W1175" s="76"/>
      <c r="X1175" s="57"/>
      <c r="Y1175" s="57"/>
      <c r="Z1175" s="57"/>
      <c r="AA1175" s="57"/>
      <c r="AB1175" s="57"/>
      <c r="AC1175" s="57"/>
      <c r="AD1175" s="57"/>
      <c r="AE1175" s="57"/>
      <c r="AF1175" s="57"/>
      <c r="AG1175" s="57"/>
      <c r="AH1175" s="57"/>
      <c r="AI1175" s="57"/>
      <c r="AJ1175" s="57"/>
      <c r="AK1175" s="57"/>
      <c r="AL1175" s="57"/>
      <c r="AM1175" s="57"/>
      <c r="AN1175" s="57"/>
      <c r="AO1175" s="57"/>
      <c r="AP1175" s="57"/>
      <c r="AQ1175" s="57"/>
      <c r="AR1175" s="57"/>
      <c r="AS1175" s="57"/>
      <c r="AT1175" s="57"/>
      <c r="AU1175" s="57"/>
      <c r="AV1175" s="57"/>
      <c r="AW1175" s="57"/>
      <c r="AX1175" s="57"/>
      <c r="AY1175" s="57"/>
      <c r="AZ1175" s="57"/>
      <c r="BA1175" s="57"/>
    </row>
    <row r="1176" spans="3:53" x14ac:dyDescent="0.25">
      <c r="C1176" s="71"/>
      <c r="K1176" s="71"/>
      <c r="L1176" s="71"/>
      <c r="M1176" s="67"/>
      <c r="W1176" s="76"/>
      <c r="X1176" s="57"/>
      <c r="Y1176" s="57"/>
      <c r="Z1176" s="57"/>
      <c r="AA1176" s="57"/>
      <c r="AB1176" s="57"/>
      <c r="AC1176" s="57"/>
      <c r="AD1176" s="57"/>
      <c r="AE1176" s="57"/>
      <c r="AF1176" s="57"/>
      <c r="AG1176" s="57"/>
      <c r="AH1176" s="57"/>
      <c r="AI1176" s="57"/>
      <c r="AJ1176" s="57"/>
      <c r="AK1176" s="57"/>
      <c r="AL1176" s="57"/>
      <c r="AM1176" s="57"/>
      <c r="AN1176" s="57"/>
      <c r="AO1176" s="57"/>
      <c r="AP1176" s="57"/>
      <c r="AQ1176" s="57"/>
      <c r="AR1176" s="57"/>
      <c r="AS1176" s="57"/>
      <c r="AT1176" s="57"/>
      <c r="AU1176" s="57"/>
      <c r="AV1176" s="57"/>
      <c r="AW1176" s="57"/>
      <c r="AX1176" s="57"/>
      <c r="AY1176" s="57"/>
      <c r="AZ1176" s="57"/>
      <c r="BA1176" s="57"/>
    </row>
    <row r="1177" spans="3:53" x14ac:dyDescent="0.25">
      <c r="C1177" s="71"/>
      <c r="K1177" s="71"/>
      <c r="L1177" s="71"/>
      <c r="M1177" s="67"/>
      <c r="W1177" s="76"/>
      <c r="X1177" s="57"/>
      <c r="Y1177" s="57"/>
      <c r="Z1177" s="57"/>
      <c r="AA1177" s="57"/>
      <c r="AB1177" s="57"/>
      <c r="AC1177" s="57"/>
      <c r="AD1177" s="57"/>
      <c r="AE1177" s="57"/>
      <c r="AF1177" s="57"/>
      <c r="AG1177" s="57"/>
      <c r="AH1177" s="57"/>
      <c r="AI1177" s="57"/>
      <c r="AJ1177" s="57"/>
      <c r="AK1177" s="57"/>
      <c r="AL1177" s="57"/>
      <c r="AM1177" s="57"/>
      <c r="AN1177" s="57"/>
      <c r="AO1177" s="57"/>
      <c r="AP1177" s="57"/>
      <c r="AQ1177" s="57"/>
      <c r="AR1177" s="57"/>
      <c r="AS1177" s="57"/>
      <c r="AT1177" s="57"/>
      <c r="AU1177" s="57"/>
      <c r="AV1177" s="57"/>
      <c r="AW1177" s="57"/>
      <c r="AX1177" s="57"/>
      <c r="AY1177" s="57"/>
      <c r="AZ1177" s="57"/>
      <c r="BA1177" s="57"/>
    </row>
    <row r="1178" spans="3:53" x14ac:dyDescent="0.25">
      <c r="C1178" s="71"/>
      <c r="K1178" s="71"/>
      <c r="L1178" s="71"/>
      <c r="M1178" s="67"/>
      <c r="W1178" s="76"/>
      <c r="X1178" s="57"/>
      <c r="Y1178" s="57"/>
      <c r="Z1178" s="57"/>
      <c r="AA1178" s="57"/>
      <c r="AB1178" s="57"/>
      <c r="AC1178" s="57"/>
      <c r="AD1178" s="57"/>
      <c r="AE1178" s="57"/>
      <c r="AF1178" s="57"/>
      <c r="AG1178" s="57"/>
      <c r="AH1178" s="57"/>
      <c r="AI1178" s="57"/>
      <c r="AJ1178" s="57"/>
      <c r="AK1178" s="57"/>
      <c r="AL1178" s="57"/>
      <c r="AM1178" s="57"/>
      <c r="AN1178" s="57"/>
      <c r="AO1178" s="57"/>
      <c r="AP1178" s="57"/>
      <c r="AQ1178" s="57"/>
      <c r="AR1178" s="57"/>
      <c r="AS1178" s="57"/>
      <c r="AT1178" s="57"/>
      <c r="AU1178" s="57"/>
      <c r="AV1178" s="57"/>
      <c r="AW1178" s="57"/>
      <c r="AX1178" s="57"/>
      <c r="AY1178" s="57"/>
      <c r="AZ1178" s="57"/>
      <c r="BA1178" s="57"/>
    </row>
    <row r="1179" spans="3:53" x14ac:dyDescent="0.25">
      <c r="C1179" s="71"/>
      <c r="K1179" s="71"/>
      <c r="L1179" s="71"/>
      <c r="M1179" s="67"/>
      <c r="W1179" s="76"/>
      <c r="X1179" s="57"/>
      <c r="Y1179" s="57"/>
      <c r="Z1179" s="57"/>
      <c r="AA1179" s="57"/>
      <c r="AB1179" s="57"/>
      <c r="AC1179" s="57"/>
      <c r="AD1179" s="57"/>
      <c r="AE1179" s="57"/>
      <c r="AF1179" s="57"/>
      <c r="AG1179" s="57"/>
      <c r="AH1179" s="57"/>
      <c r="AI1179" s="57"/>
      <c r="AJ1179" s="57"/>
      <c r="AK1179" s="57"/>
      <c r="AL1179" s="57"/>
      <c r="AM1179" s="57"/>
      <c r="AN1179" s="57"/>
      <c r="AO1179" s="57"/>
      <c r="AP1179" s="57"/>
      <c r="AQ1179" s="57"/>
      <c r="AR1179" s="57"/>
      <c r="AS1179" s="57"/>
      <c r="AT1179" s="57"/>
      <c r="AU1179" s="57"/>
      <c r="AV1179" s="57"/>
      <c r="AW1179" s="57"/>
      <c r="AX1179" s="57"/>
      <c r="AY1179" s="57"/>
      <c r="AZ1179" s="57"/>
      <c r="BA1179" s="57"/>
    </row>
    <row r="1180" spans="3:53" x14ac:dyDescent="0.25">
      <c r="C1180" s="71"/>
      <c r="K1180" s="71"/>
      <c r="L1180" s="71"/>
      <c r="M1180" s="67"/>
      <c r="W1180" s="76"/>
      <c r="X1180" s="57"/>
      <c r="Y1180" s="57"/>
      <c r="Z1180" s="57"/>
      <c r="AA1180" s="57"/>
      <c r="AB1180" s="57"/>
      <c r="AC1180" s="57"/>
      <c r="AD1180" s="57"/>
      <c r="AE1180" s="57"/>
      <c r="AF1180" s="57"/>
      <c r="AG1180" s="57"/>
      <c r="AH1180" s="57"/>
      <c r="AI1180" s="57"/>
      <c r="AJ1180" s="57"/>
      <c r="AK1180" s="57"/>
      <c r="AL1180" s="57"/>
      <c r="AM1180" s="57"/>
      <c r="AN1180" s="57"/>
      <c r="AO1180" s="57"/>
      <c r="AP1180" s="57"/>
      <c r="AQ1180" s="57"/>
      <c r="AR1180" s="57"/>
      <c r="AS1180" s="57"/>
      <c r="AT1180" s="57"/>
      <c r="AU1180" s="57"/>
      <c r="AV1180" s="57"/>
      <c r="AW1180" s="57"/>
      <c r="AX1180" s="57"/>
      <c r="AY1180" s="57"/>
      <c r="AZ1180" s="57"/>
      <c r="BA1180" s="57"/>
    </row>
    <row r="1181" spans="3:53" x14ac:dyDescent="0.25">
      <c r="C1181" s="71"/>
      <c r="K1181" s="71"/>
      <c r="L1181" s="71"/>
      <c r="M1181" s="67"/>
      <c r="W1181" s="76"/>
      <c r="X1181" s="57"/>
      <c r="Y1181" s="57"/>
      <c r="Z1181" s="57"/>
      <c r="AA1181" s="57"/>
      <c r="AB1181" s="57"/>
      <c r="AC1181" s="57"/>
      <c r="AD1181" s="57"/>
      <c r="AE1181" s="57"/>
      <c r="AF1181" s="57"/>
      <c r="AG1181" s="57"/>
      <c r="AH1181" s="57"/>
      <c r="AI1181" s="57"/>
      <c r="AJ1181" s="57"/>
      <c r="AK1181" s="57"/>
      <c r="AL1181" s="57"/>
      <c r="AM1181" s="57"/>
      <c r="AN1181" s="57"/>
      <c r="AO1181" s="57"/>
      <c r="AP1181" s="57"/>
      <c r="AQ1181" s="57"/>
      <c r="AR1181" s="57"/>
      <c r="AS1181" s="57"/>
      <c r="AT1181" s="57"/>
      <c r="AU1181" s="57"/>
      <c r="AV1181" s="57"/>
      <c r="AW1181" s="57"/>
      <c r="AX1181" s="57"/>
      <c r="AY1181" s="57"/>
      <c r="AZ1181" s="57"/>
      <c r="BA1181" s="57"/>
    </row>
    <row r="1182" spans="3:53" x14ac:dyDescent="0.25">
      <c r="C1182" s="71"/>
      <c r="K1182" s="71"/>
      <c r="L1182" s="71"/>
      <c r="M1182" s="67"/>
      <c r="W1182" s="76"/>
      <c r="X1182" s="57"/>
      <c r="Y1182" s="57"/>
      <c r="Z1182" s="57"/>
      <c r="AA1182" s="57"/>
      <c r="AB1182" s="57"/>
      <c r="AC1182" s="57"/>
      <c r="AD1182" s="57"/>
      <c r="AE1182" s="57"/>
      <c r="AF1182" s="57"/>
      <c r="AG1182" s="57"/>
      <c r="AH1182" s="57"/>
      <c r="AI1182" s="57"/>
      <c r="AJ1182" s="57"/>
      <c r="AK1182" s="57"/>
      <c r="AL1182" s="57"/>
      <c r="AM1182" s="57"/>
      <c r="AN1182" s="57"/>
      <c r="AO1182" s="57"/>
      <c r="AP1182" s="57"/>
      <c r="AQ1182" s="57"/>
      <c r="AR1182" s="57"/>
      <c r="AS1182" s="57"/>
      <c r="AT1182" s="57"/>
      <c r="AU1182" s="57"/>
      <c r="AV1182" s="57"/>
      <c r="AW1182" s="57"/>
      <c r="AX1182" s="57"/>
      <c r="AY1182" s="57"/>
      <c r="AZ1182" s="57"/>
      <c r="BA1182" s="57"/>
    </row>
    <row r="1183" spans="3:53" x14ac:dyDescent="0.25">
      <c r="C1183" s="71"/>
      <c r="K1183" s="71"/>
      <c r="L1183" s="71"/>
      <c r="M1183" s="67"/>
      <c r="W1183" s="76"/>
      <c r="X1183" s="57"/>
      <c r="Y1183" s="57"/>
      <c r="Z1183" s="57"/>
      <c r="AA1183" s="57"/>
      <c r="AB1183" s="57"/>
      <c r="AC1183" s="57"/>
      <c r="AD1183" s="57"/>
      <c r="AE1183" s="57"/>
      <c r="AF1183" s="57"/>
      <c r="AG1183" s="57"/>
      <c r="AH1183" s="57"/>
      <c r="AI1183" s="57"/>
      <c r="AJ1183" s="57"/>
      <c r="AK1183" s="57"/>
      <c r="AL1183" s="57"/>
      <c r="AM1183" s="57"/>
      <c r="AN1183" s="57"/>
      <c r="AO1183" s="57"/>
      <c r="AP1183" s="57"/>
      <c r="AQ1183" s="57"/>
      <c r="AR1183" s="57"/>
      <c r="AS1183" s="57"/>
      <c r="AT1183" s="57"/>
      <c r="AU1183" s="57"/>
      <c r="AV1183" s="57"/>
      <c r="AW1183" s="57"/>
      <c r="AX1183" s="57"/>
      <c r="AY1183" s="57"/>
      <c r="AZ1183" s="57"/>
      <c r="BA1183" s="57"/>
    </row>
    <row r="1184" spans="3:53" x14ac:dyDescent="0.25">
      <c r="C1184" s="71"/>
      <c r="K1184" s="71"/>
      <c r="L1184" s="71"/>
      <c r="M1184" s="67"/>
      <c r="W1184" s="76"/>
      <c r="X1184" s="57"/>
      <c r="Y1184" s="57"/>
      <c r="Z1184" s="57"/>
      <c r="AA1184" s="57"/>
      <c r="AB1184" s="57"/>
      <c r="AC1184" s="57"/>
      <c r="AD1184" s="57"/>
      <c r="AE1184" s="57"/>
      <c r="AF1184" s="57"/>
      <c r="AG1184" s="57"/>
      <c r="AH1184" s="57"/>
      <c r="AI1184" s="57"/>
      <c r="AJ1184" s="57"/>
      <c r="AK1184" s="57"/>
      <c r="AL1184" s="57"/>
      <c r="AM1184" s="57"/>
      <c r="AN1184" s="57"/>
      <c r="AO1184" s="57"/>
      <c r="AP1184" s="57"/>
      <c r="AQ1184" s="57"/>
      <c r="AR1184" s="57"/>
      <c r="AS1184" s="57"/>
      <c r="AT1184" s="57"/>
      <c r="AU1184" s="57"/>
      <c r="AV1184" s="57"/>
      <c r="AW1184" s="57"/>
      <c r="AX1184" s="57"/>
      <c r="AY1184" s="57"/>
      <c r="AZ1184" s="57"/>
      <c r="BA1184" s="57"/>
    </row>
    <row r="1185" spans="3:53" x14ac:dyDescent="0.25">
      <c r="C1185" s="71"/>
      <c r="K1185" s="71"/>
      <c r="L1185" s="71"/>
      <c r="M1185" s="67"/>
      <c r="W1185" s="76"/>
      <c r="X1185" s="57"/>
      <c r="Y1185" s="57"/>
      <c r="Z1185" s="57"/>
      <c r="AA1185" s="57"/>
      <c r="AB1185" s="57"/>
      <c r="AC1185" s="57"/>
      <c r="AD1185" s="57"/>
      <c r="AE1185" s="57"/>
      <c r="AF1185" s="57"/>
      <c r="AG1185" s="57"/>
      <c r="AH1185" s="57"/>
      <c r="AI1185" s="57"/>
      <c r="AJ1185" s="57"/>
      <c r="AK1185" s="57"/>
      <c r="AL1185" s="57"/>
      <c r="AM1185" s="57"/>
      <c r="AN1185" s="57"/>
      <c r="AO1185" s="57"/>
      <c r="AP1185" s="57"/>
      <c r="AQ1185" s="57"/>
      <c r="AR1185" s="57"/>
      <c r="AS1185" s="57"/>
      <c r="AT1185" s="57"/>
      <c r="AU1185" s="57"/>
      <c r="AV1185" s="57"/>
      <c r="AW1185" s="57"/>
      <c r="AX1185" s="57"/>
      <c r="AY1185" s="57"/>
      <c r="AZ1185" s="57"/>
      <c r="BA1185" s="57"/>
    </row>
    <row r="1186" spans="3:53" x14ac:dyDescent="0.25">
      <c r="C1186" s="71"/>
      <c r="K1186" s="71"/>
      <c r="L1186" s="71"/>
      <c r="M1186" s="67"/>
      <c r="W1186" s="76"/>
      <c r="X1186" s="57"/>
      <c r="Y1186" s="57"/>
      <c r="Z1186" s="57"/>
      <c r="AA1186" s="57"/>
      <c r="AB1186" s="57"/>
      <c r="AC1186" s="57"/>
      <c r="AD1186" s="57"/>
      <c r="AE1186" s="57"/>
      <c r="AF1186" s="57"/>
      <c r="AG1186" s="57"/>
      <c r="AH1186" s="57"/>
      <c r="AI1186" s="57"/>
      <c r="AJ1186" s="57"/>
      <c r="AK1186" s="57"/>
      <c r="AL1186" s="57"/>
      <c r="AM1186" s="57"/>
      <c r="AN1186" s="57"/>
      <c r="AO1186" s="57"/>
      <c r="AP1186" s="57"/>
      <c r="AQ1186" s="57"/>
      <c r="AR1186" s="57"/>
      <c r="AS1186" s="57"/>
      <c r="AT1186" s="57"/>
      <c r="AU1186" s="57"/>
      <c r="AV1186" s="57"/>
      <c r="AW1186" s="57"/>
      <c r="AX1186" s="57"/>
      <c r="AY1186" s="57"/>
      <c r="AZ1186" s="57"/>
      <c r="BA1186" s="57"/>
    </row>
    <row r="1187" spans="3:53" x14ac:dyDescent="0.25">
      <c r="C1187" s="71"/>
      <c r="K1187" s="71"/>
      <c r="L1187" s="71"/>
      <c r="M1187" s="67"/>
      <c r="W1187" s="76"/>
      <c r="X1187" s="57"/>
      <c r="Y1187" s="57"/>
      <c r="Z1187" s="57"/>
      <c r="AA1187" s="57"/>
      <c r="AB1187" s="57"/>
      <c r="AC1187" s="57"/>
      <c r="AD1187" s="57"/>
      <c r="AE1187" s="57"/>
      <c r="AF1187" s="57"/>
      <c r="AG1187" s="57"/>
      <c r="AH1187" s="57"/>
      <c r="AI1187" s="57"/>
      <c r="AJ1187" s="57"/>
      <c r="AK1187" s="57"/>
      <c r="AL1187" s="57"/>
      <c r="AM1187" s="57"/>
      <c r="AN1187" s="57"/>
      <c r="AO1187" s="57"/>
      <c r="AP1187" s="57"/>
      <c r="AQ1187" s="57"/>
      <c r="AR1187" s="57"/>
      <c r="AS1187" s="57"/>
      <c r="AT1187" s="57"/>
      <c r="AU1187" s="57"/>
      <c r="AV1187" s="57"/>
      <c r="AW1187" s="57"/>
      <c r="AX1187" s="57"/>
      <c r="AY1187" s="57"/>
      <c r="AZ1187" s="57"/>
      <c r="BA1187" s="57"/>
    </row>
    <row r="1188" spans="3:53" x14ac:dyDescent="0.25">
      <c r="C1188" s="71"/>
      <c r="K1188" s="71"/>
      <c r="L1188" s="71"/>
      <c r="M1188" s="67"/>
      <c r="W1188" s="76"/>
      <c r="X1188" s="57"/>
      <c r="Y1188" s="57"/>
      <c r="Z1188" s="57"/>
      <c r="AA1188" s="57"/>
      <c r="AB1188" s="57"/>
      <c r="AC1188" s="57"/>
      <c r="AD1188" s="57"/>
      <c r="AE1188" s="57"/>
      <c r="AF1188" s="57"/>
      <c r="AG1188" s="57"/>
      <c r="AH1188" s="57"/>
      <c r="AI1188" s="57"/>
      <c r="AJ1188" s="57"/>
      <c r="AK1188" s="57"/>
      <c r="AL1188" s="57"/>
      <c r="AM1188" s="57"/>
      <c r="AN1188" s="57"/>
      <c r="AO1188" s="57"/>
      <c r="AP1188" s="57"/>
      <c r="AQ1188" s="57"/>
      <c r="AR1188" s="57"/>
      <c r="AS1188" s="57"/>
      <c r="AT1188" s="57"/>
      <c r="AU1188" s="57"/>
      <c r="AV1188" s="57"/>
      <c r="AW1188" s="57"/>
      <c r="AX1188" s="57"/>
      <c r="AY1188" s="57"/>
      <c r="AZ1188" s="57"/>
      <c r="BA1188" s="57"/>
    </row>
    <row r="1189" spans="3:53" x14ac:dyDescent="0.25">
      <c r="C1189" s="71"/>
      <c r="K1189" s="71"/>
      <c r="L1189" s="71"/>
      <c r="M1189" s="67"/>
      <c r="W1189" s="76"/>
      <c r="X1189" s="57"/>
      <c r="Y1189" s="57"/>
      <c r="Z1189" s="57"/>
      <c r="AA1189" s="57"/>
      <c r="AB1189" s="57"/>
      <c r="AC1189" s="57"/>
      <c r="AD1189" s="57"/>
      <c r="AE1189" s="57"/>
      <c r="AF1189" s="57"/>
      <c r="AG1189" s="57"/>
      <c r="AH1189" s="57"/>
      <c r="AI1189" s="57"/>
      <c r="AJ1189" s="57"/>
      <c r="AK1189" s="57"/>
      <c r="AL1189" s="57"/>
      <c r="AM1189" s="57"/>
      <c r="AN1189" s="57"/>
      <c r="AO1189" s="57"/>
      <c r="AP1189" s="57"/>
      <c r="AQ1189" s="57"/>
      <c r="AR1189" s="57"/>
      <c r="AS1189" s="57"/>
      <c r="AT1189" s="57"/>
      <c r="AU1189" s="57"/>
      <c r="AV1189" s="57"/>
      <c r="AW1189" s="57"/>
      <c r="AX1189" s="57"/>
      <c r="AY1189" s="57"/>
      <c r="AZ1189" s="57"/>
      <c r="BA1189" s="57"/>
    </row>
    <row r="1190" spans="3:53" x14ac:dyDescent="0.25">
      <c r="C1190" s="71"/>
      <c r="K1190" s="71"/>
      <c r="L1190" s="71"/>
      <c r="M1190" s="67"/>
      <c r="W1190" s="76"/>
      <c r="X1190" s="57"/>
      <c r="Y1190" s="57"/>
      <c r="Z1190" s="57"/>
      <c r="AA1190" s="57"/>
      <c r="AB1190" s="57"/>
      <c r="AC1190" s="57"/>
      <c r="AD1190" s="57"/>
      <c r="AE1190" s="57"/>
      <c r="AF1190" s="57"/>
      <c r="AG1190" s="57"/>
      <c r="AH1190" s="57"/>
      <c r="AI1190" s="57"/>
      <c r="AJ1190" s="57"/>
      <c r="AK1190" s="57"/>
      <c r="AL1190" s="57"/>
      <c r="AM1190" s="57"/>
      <c r="AN1190" s="57"/>
      <c r="AO1190" s="57"/>
      <c r="AP1190" s="57"/>
      <c r="AQ1190" s="57"/>
      <c r="AR1190" s="57"/>
      <c r="AS1190" s="57"/>
      <c r="AT1190" s="57"/>
      <c r="AU1190" s="57"/>
      <c r="AV1190" s="57"/>
      <c r="AW1190" s="57"/>
      <c r="AX1190" s="57"/>
      <c r="AY1190" s="57"/>
      <c r="AZ1190" s="57"/>
      <c r="BA1190" s="57"/>
    </row>
    <row r="1191" spans="3:53" x14ac:dyDescent="0.25">
      <c r="C1191" s="71"/>
      <c r="K1191" s="71"/>
      <c r="L1191" s="71"/>
      <c r="M1191" s="67"/>
      <c r="W1191" s="76"/>
      <c r="X1191" s="57"/>
      <c r="Y1191" s="57"/>
      <c r="Z1191" s="57"/>
      <c r="AA1191" s="57"/>
      <c r="AB1191" s="57"/>
      <c r="AC1191" s="57"/>
      <c r="AD1191" s="57"/>
      <c r="AE1191" s="57"/>
      <c r="AF1191" s="57"/>
      <c r="AG1191" s="57"/>
      <c r="AH1191" s="57"/>
      <c r="AI1191" s="57"/>
      <c r="AJ1191" s="57"/>
      <c r="AK1191" s="57"/>
      <c r="AL1191" s="57"/>
      <c r="AM1191" s="57"/>
      <c r="AN1191" s="57"/>
      <c r="AO1191" s="57"/>
      <c r="AP1191" s="57"/>
      <c r="AQ1191" s="57"/>
      <c r="AR1191" s="57"/>
      <c r="AS1191" s="57"/>
      <c r="AT1191" s="57"/>
      <c r="AU1191" s="57"/>
      <c r="AV1191" s="57"/>
      <c r="AW1191" s="57"/>
      <c r="AX1191" s="57"/>
      <c r="AY1191" s="57"/>
      <c r="AZ1191" s="57"/>
      <c r="BA1191" s="57"/>
    </row>
    <row r="1192" spans="3:53" x14ac:dyDescent="0.25">
      <c r="C1192" s="71"/>
      <c r="K1192" s="71"/>
      <c r="L1192" s="71"/>
      <c r="M1192" s="67"/>
      <c r="W1192" s="76"/>
      <c r="X1192" s="57"/>
      <c r="Y1192" s="57"/>
      <c r="Z1192" s="57"/>
      <c r="AA1192" s="57"/>
      <c r="AB1192" s="57"/>
      <c r="AC1192" s="57"/>
      <c r="AD1192" s="57"/>
      <c r="AE1192" s="57"/>
      <c r="AF1192" s="57"/>
      <c r="AG1192" s="57"/>
      <c r="AH1192" s="57"/>
      <c r="AI1192" s="57"/>
      <c r="AJ1192" s="57"/>
      <c r="AK1192" s="57"/>
      <c r="AL1192" s="57"/>
      <c r="AM1192" s="57"/>
      <c r="AN1192" s="57"/>
      <c r="AO1192" s="57"/>
      <c r="AP1192" s="57"/>
      <c r="AQ1192" s="57"/>
      <c r="AR1192" s="57"/>
      <c r="AS1192" s="57"/>
      <c r="AT1192" s="57"/>
      <c r="AU1192" s="57"/>
      <c r="AV1192" s="57"/>
      <c r="AW1192" s="57"/>
      <c r="AX1192" s="57"/>
      <c r="AY1192" s="57"/>
      <c r="AZ1192" s="57"/>
      <c r="BA1192" s="57"/>
    </row>
    <row r="1193" spans="3:53" x14ac:dyDescent="0.25">
      <c r="C1193" s="71"/>
      <c r="K1193" s="71"/>
      <c r="L1193" s="71"/>
      <c r="M1193" s="67"/>
      <c r="W1193" s="76"/>
      <c r="X1193" s="57"/>
      <c r="Y1193" s="57"/>
      <c r="Z1193" s="57"/>
      <c r="AA1193" s="57"/>
      <c r="AB1193" s="57"/>
      <c r="AC1193" s="57"/>
      <c r="AD1193" s="57"/>
      <c r="AE1193" s="57"/>
      <c r="AF1193" s="57"/>
      <c r="AG1193" s="57"/>
      <c r="AH1193" s="57"/>
      <c r="AI1193" s="57"/>
      <c r="AJ1193" s="57"/>
      <c r="AK1193" s="57"/>
      <c r="AL1193" s="57"/>
      <c r="AM1193" s="57"/>
      <c r="AN1193" s="57"/>
      <c r="AO1193" s="57"/>
      <c r="AP1193" s="57"/>
      <c r="AQ1193" s="57"/>
      <c r="AR1193" s="57"/>
      <c r="AS1193" s="57"/>
      <c r="AT1193" s="57"/>
      <c r="AU1193" s="57"/>
      <c r="AV1193" s="57"/>
      <c r="AW1193" s="57"/>
      <c r="AX1193" s="57"/>
      <c r="AY1193" s="57"/>
      <c r="AZ1193" s="57"/>
      <c r="BA1193" s="57"/>
    </row>
    <row r="1194" spans="3:53" x14ac:dyDescent="0.25">
      <c r="C1194" s="71"/>
      <c r="K1194" s="71"/>
      <c r="L1194" s="71"/>
      <c r="M1194" s="67"/>
      <c r="W1194" s="76"/>
      <c r="X1194" s="57"/>
      <c r="Y1194" s="57"/>
      <c r="Z1194" s="57"/>
      <c r="AA1194" s="57"/>
      <c r="AB1194" s="57"/>
      <c r="AC1194" s="57"/>
      <c r="AD1194" s="57"/>
      <c r="AE1194" s="57"/>
      <c r="AF1194" s="57"/>
      <c r="AG1194" s="57"/>
      <c r="AH1194" s="57"/>
      <c r="AI1194" s="57"/>
      <c r="AJ1194" s="57"/>
      <c r="AK1194" s="57"/>
      <c r="AL1194" s="57"/>
      <c r="AM1194" s="57"/>
      <c r="AN1194" s="57"/>
      <c r="AO1194" s="57"/>
      <c r="AP1194" s="57"/>
      <c r="AQ1194" s="57"/>
      <c r="AR1194" s="57"/>
      <c r="AS1194" s="57"/>
      <c r="AT1194" s="57"/>
      <c r="AU1194" s="57"/>
      <c r="AV1194" s="57"/>
      <c r="AW1194" s="57"/>
      <c r="AX1194" s="57"/>
      <c r="AY1194" s="57"/>
      <c r="AZ1194" s="57"/>
      <c r="BA1194" s="57"/>
    </row>
    <row r="1195" spans="3:53" x14ac:dyDescent="0.25">
      <c r="C1195" s="71"/>
      <c r="K1195" s="71"/>
      <c r="L1195" s="71"/>
      <c r="M1195" s="67"/>
      <c r="W1195" s="76"/>
      <c r="X1195" s="57"/>
      <c r="Y1195" s="57"/>
      <c r="Z1195" s="57"/>
      <c r="AA1195" s="57"/>
      <c r="AB1195" s="57"/>
      <c r="AC1195" s="57"/>
      <c r="AD1195" s="57"/>
      <c r="AE1195" s="57"/>
      <c r="AF1195" s="57"/>
      <c r="AG1195" s="57"/>
      <c r="AH1195" s="57"/>
      <c r="AI1195" s="57"/>
      <c r="AJ1195" s="57"/>
      <c r="AK1195" s="57"/>
      <c r="AL1195" s="57"/>
      <c r="AM1195" s="57"/>
      <c r="AN1195" s="57"/>
      <c r="AO1195" s="57"/>
      <c r="AP1195" s="57"/>
      <c r="AQ1195" s="57"/>
      <c r="AR1195" s="57"/>
      <c r="AS1195" s="57"/>
      <c r="AT1195" s="57"/>
      <c r="AU1195" s="57"/>
      <c r="AV1195" s="57"/>
      <c r="AW1195" s="57"/>
      <c r="AX1195" s="57"/>
      <c r="AY1195" s="57"/>
      <c r="AZ1195" s="57"/>
      <c r="BA1195" s="57"/>
    </row>
    <row r="1196" spans="3:53" x14ac:dyDescent="0.25">
      <c r="C1196" s="71"/>
      <c r="K1196" s="71"/>
      <c r="L1196" s="71"/>
      <c r="M1196" s="67"/>
      <c r="W1196" s="76"/>
      <c r="X1196" s="57"/>
      <c r="Y1196" s="57"/>
      <c r="Z1196" s="57"/>
      <c r="AA1196" s="57"/>
      <c r="AB1196" s="57"/>
      <c r="AC1196" s="57"/>
      <c r="AD1196" s="57"/>
      <c r="AE1196" s="57"/>
      <c r="AF1196" s="57"/>
      <c r="AG1196" s="57"/>
      <c r="AH1196" s="57"/>
      <c r="AI1196" s="57"/>
      <c r="AJ1196" s="57"/>
      <c r="AK1196" s="57"/>
      <c r="AL1196" s="57"/>
      <c r="AM1196" s="57"/>
      <c r="AN1196" s="57"/>
      <c r="AO1196" s="57"/>
      <c r="AP1196" s="57"/>
      <c r="AQ1196" s="57"/>
      <c r="AR1196" s="57"/>
      <c r="AS1196" s="57"/>
      <c r="AT1196" s="57"/>
      <c r="AU1196" s="57"/>
      <c r="AV1196" s="57"/>
      <c r="AW1196" s="57"/>
      <c r="AX1196" s="57"/>
      <c r="AY1196" s="57"/>
      <c r="AZ1196" s="57"/>
      <c r="BA1196" s="57"/>
    </row>
    <row r="1197" spans="3:53" x14ac:dyDescent="0.25">
      <c r="C1197" s="71"/>
      <c r="K1197" s="71"/>
      <c r="L1197" s="71"/>
      <c r="M1197" s="67"/>
      <c r="W1197" s="76"/>
      <c r="X1197" s="57"/>
      <c r="Y1197" s="57"/>
      <c r="Z1197" s="57"/>
      <c r="AA1197" s="57"/>
      <c r="AB1197" s="57"/>
      <c r="AC1197" s="57"/>
      <c r="AD1197" s="57"/>
      <c r="AE1197" s="57"/>
      <c r="AF1197" s="57"/>
      <c r="AG1197" s="57"/>
      <c r="AH1197" s="57"/>
      <c r="AI1197" s="57"/>
      <c r="AJ1197" s="57"/>
      <c r="AK1197" s="57"/>
      <c r="AL1197" s="57"/>
      <c r="AM1197" s="57"/>
      <c r="AN1197" s="57"/>
      <c r="AO1197" s="57"/>
      <c r="AP1197" s="57"/>
      <c r="AQ1197" s="57"/>
      <c r="AR1197" s="57"/>
      <c r="AS1197" s="57"/>
      <c r="AT1197" s="57"/>
      <c r="AU1197" s="57"/>
      <c r="AV1197" s="57"/>
      <c r="AW1197" s="57"/>
      <c r="AX1197" s="57"/>
      <c r="AY1197" s="57"/>
      <c r="AZ1197" s="57"/>
      <c r="BA1197" s="57"/>
    </row>
    <row r="1198" spans="3:53" x14ac:dyDescent="0.25">
      <c r="C1198" s="71"/>
      <c r="K1198" s="71"/>
      <c r="L1198" s="71"/>
      <c r="M1198" s="67"/>
      <c r="W1198" s="76"/>
      <c r="X1198" s="57"/>
      <c r="Y1198" s="57"/>
      <c r="Z1198" s="57"/>
      <c r="AA1198" s="57"/>
      <c r="AB1198" s="57"/>
      <c r="AC1198" s="57"/>
      <c r="AD1198" s="57"/>
      <c r="AE1198" s="57"/>
      <c r="AF1198" s="57"/>
      <c r="AG1198" s="57"/>
      <c r="AH1198" s="57"/>
      <c r="AI1198" s="57"/>
      <c r="AJ1198" s="57"/>
      <c r="AK1198" s="57"/>
      <c r="AL1198" s="57"/>
      <c r="AM1198" s="57"/>
      <c r="AN1198" s="57"/>
      <c r="AO1198" s="57"/>
      <c r="AP1198" s="57"/>
      <c r="AQ1198" s="57"/>
      <c r="AR1198" s="57"/>
      <c r="AS1198" s="57"/>
      <c r="AT1198" s="57"/>
      <c r="AU1198" s="57"/>
      <c r="AV1198" s="57"/>
      <c r="AW1198" s="57"/>
      <c r="AX1198" s="57"/>
      <c r="AY1198" s="57"/>
      <c r="AZ1198" s="57"/>
      <c r="BA1198" s="57"/>
    </row>
    <row r="1199" spans="3:53" x14ac:dyDescent="0.25">
      <c r="C1199" s="71"/>
      <c r="K1199" s="71"/>
      <c r="L1199" s="71"/>
      <c r="M1199" s="67"/>
      <c r="W1199" s="76"/>
      <c r="X1199" s="57"/>
      <c r="Y1199" s="57"/>
      <c r="Z1199" s="57"/>
      <c r="AA1199" s="57"/>
      <c r="AB1199" s="57"/>
      <c r="AC1199" s="57"/>
      <c r="AD1199" s="57"/>
      <c r="AE1199" s="57"/>
      <c r="AF1199" s="57"/>
      <c r="AG1199" s="57"/>
      <c r="AH1199" s="57"/>
      <c r="AI1199" s="57"/>
      <c r="AJ1199" s="57"/>
      <c r="AK1199" s="57"/>
      <c r="AL1199" s="57"/>
      <c r="AM1199" s="57"/>
      <c r="AN1199" s="57"/>
      <c r="AO1199" s="57"/>
      <c r="AP1199" s="57"/>
      <c r="AQ1199" s="57"/>
      <c r="AR1199" s="57"/>
      <c r="AS1199" s="57"/>
      <c r="AT1199" s="57"/>
      <c r="AU1199" s="57"/>
      <c r="AV1199" s="57"/>
      <c r="AW1199" s="57"/>
      <c r="AX1199" s="57"/>
      <c r="AY1199" s="57"/>
      <c r="AZ1199" s="57"/>
      <c r="BA1199" s="57"/>
    </row>
    <row r="1200" spans="3:53" x14ac:dyDescent="0.25">
      <c r="C1200" s="71"/>
      <c r="K1200" s="71"/>
      <c r="L1200" s="71"/>
      <c r="M1200" s="67"/>
      <c r="W1200" s="76"/>
      <c r="X1200" s="57"/>
      <c r="Y1200" s="57"/>
      <c r="Z1200" s="57"/>
      <c r="AA1200" s="57"/>
      <c r="AB1200" s="57"/>
      <c r="AC1200" s="57"/>
      <c r="AD1200" s="57"/>
      <c r="AE1200" s="57"/>
      <c r="AF1200" s="57"/>
      <c r="AG1200" s="57"/>
      <c r="AH1200" s="57"/>
      <c r="AI1200" s="57"/>
      <c r="AJ1200" s="57"/>
      <c r="AK1200" s="57"/>
      <c r="AL1200" s="57"/>
      <c r="AM1200" s="57"/>
      <c r="AN1200" s="57"/>
      <c r="AO1200" s="57"/>
      <c r="AP1200" s="57"/>
      <c r="AQ1200" s="57"/>
      <c r="AR1200" s="57"/>
      <c r="AS1200" s="57"/>
      <c r="AT1200" s="57"/>
      <c r="AU1200" s="57"/>
      <c r="AV1200" s="57"/>
      <c r="AW1200" s="57"/>
      <c r="AX1200" s="57"/>
      <c r="AY1200" s="57"/>
      <c r="AZ1200" s="57"/>
      <c r="BA1200" s="57"/>
    </row>
    <row r="1201" spans="3:53" x14ac:dyDescent="0.25">
      <c r="C1201" s="71"/>
      <c r="K1201" s="71"/>
      <c r="L1201" s="71"/>
      <c r="M1201" s="67"/>
      <c r="W1201" s="76"/>
      <c r="X1201" s="57"/>
      <c r="Y1201" s="57"/>
      <c r="Z1201" s="57"/>
      <c r="AA1201" s="57"/>
      <c r="AB1201" s="57"/>
      <c r="AC1201" s="57"/>
      <c r="AD1201" s="57"/>
      <c r="AE1201" s="57"/>
      <c r="AF1201" s="57"/>
      <c r="AG1201" s="57"/>
      <c r="AH1201" s="57"/>
      <c r="AI1201" s="57"/>
      <c r="AJ1201" s="57"/>
      <c r="AK1201" s="57"/>
      <c r="AL1201" s="57"/>
      <c r="AM1201" s="57"/>
      <c r="AN1201" s="57"/>
      <c r="AO1201" s="57"/>
      <c r="AP1201" s="57"/>
      <c r="AQ1201" s="57"/>
      <c r="AR1201" s="57"/>
      <c r="AS1201" s="57"/>
      <c r="AT1201" s="57"/>
      <c r="AU1201" s="57"/>
      <c r="AV1201" s="57"/>
      <c r="AW1201" s="57"/>
      <c r="AX1201" s="57"/>
      <c r="AY1201" s="57"/>
      <c r="AZ1201" s="57"/>
      <c r="BA1201" s="57"/>
    </row>
    <row r="1202" spans="3:53" x14ac:dyDescent="0.25">
      <c r="C1202" s="71"/>
      <c r="K1202" s="71"/>
      <c r="L1202" s="71"/>
      <c r="M1202" s="67"/>
      <c r="W1202" s="76"/>
      <c r="X1202" s="57"/>
      <c r="Y1202" s="57"/>
      <c r="Z1202" s="57"/>
      <c r="AA1202" s="57"/>
      <c r="AB1202" s="57"/>
      <c r="AC1202" s="57"/>
      <c r="AD1202" s="57"/>
      <c r="AE1202" s="57"/>
      <c r="AF1202" s="57"/>
      <c r="AG1202" s="57"/>
      <c r="AH1202" s="57"/>
      <c r="AI1202" s="57"/>
      <c r="AJ1202" s="57"/>
      <c r="AK1202" s="57"/>
      <c r="AL1202" s="57"/>
      <c r="AM1202" s="57"/>
      <c r="AN1202" s="57"/>
      <c r="AO1202" s="57"/>
      <c r="AP1202" s="57"/>
      <c r="AQ1202" s="57"/>
      <c r="AR1202" s="57"/>
      <c r="AS1202" s="57"/>
      <c r="AT1202" s="57"/>
      <c r="AU1202" s="57"/>
      <c r="AV1202" s="57"/>
      <c r="AW1202" s="57"/>
      <c r="AX1202" s="57"/>
      <c r="AY1202" s="57"/>
      <c r="AZ1202" s="57"/>
      <c r="BA1202" s="57"/>
    </row>
    <row r="1203" spans="3:53" x14ac:dyDescent="0.25">
      <c r="C1203" s="71"/>
      <c r="K1203" s="71"/>
      <c r="L1203" s="71"/>
      <c r="M1203" s="67"/>
      <c r="W1203" s="76"/>
      <c r="X1203" s="57"/>
      <c r="Y1203" s="57"/>
      <c r="Z1203" s="57"/>
      <c r="AA1203" s="57"/>
      <c r="AB1203" s="57"/>
      <c r="AC1203" s="57"/>
      <c r="AD1203" s="57"/>
      <c r="AE1203" s="57"/>
      <c r="AF1203" s="57"/>
      <c r="AG1203" s="57"/>
      <c r="AH1203" s="57"/>
      <c r="AI1203" s="57"/>
      <c r="AJ1203" s="57"/>
      <c r="AK1203" s="57"/>
      <c r="AL1203" s="57"/>
      <c r="AM1203" s="57"/>
      <c r="AN1203" s="57"/>
      <c r="AO1203" s="57"/>
      <c r="AP1203" s="57"/>
      <c r="AQ1203" s="57"/>
      <c r="AR1203" s="57"/>
      <c r="AS1203" s="57"/>
      <c r="AT1203" s="57"/>
      <c r="AU1203" s="57"/>
      <c r="AV1203" s="57"/>
      <c r="AW1203" s="57"/>
      <c r="AX1203" s="57"/>
      <c r="AY1203" s="57"/>
      <c r="AZ1203" s="57"/>
      <c r="BA1203" s="57"/>
    </row>
    <row r="1204" spans="3:53" x14ac:dyDescent="0.25">
      <c r="C1204" s="71"/>
      <c r="K1204" s="71"/>
      <c r="L1204" s="71"/>
      <c r="M1204" s="67"/>
      <c r="W1204" s="76"/>
      <c r="X1204" s="57"/>
      <c r="Y1204" s="57"/>
      <c r="Z1204" s="57"/>
      <c r="AA1204" s="57"/>
      <c r="AB1204" s="57"/>
      <c r="AC1204" s="57"/>
      <c r="AD1204" s="57"/>
      <c r="AE1204" s="57"/>
      <c r="AF1204" s="57"/>
      <c r="AG1204" s="57"/>
      <c r="AH1204" s="57"/>
      <c r="AI1204" s="57"/>
      <c r="AJ1204" s="57"/>
      <c r="AK1204" s="57"/>
      <c r="AL1204" s="57"/>
      <c r="AM1204" s="57"/>
      <c r="AN1204" s="57"/>
      <c r="AO1204" s="57"/>
      <c r="AP1204" s="57"/>
      <c r="AQ1204" s="57"/>
      <c r="AR1204" s="57"/>
      <c r="AS1204" s="57"/>
      <c r="AT1204" s="57"/>
      <c r="AU1204" s="57"/>
      <c r="AV1204" s="57"/>
      <c r="AW1204" s="57"/>
      <c r="AX1204" s="57"/>
      <c r="AY1204" s="57"/>
      <c r="AZ1204" s="57"/>
      <c r="BA1204" s="57"/>
    </row>
    <row r="1205" spans="3:53" x14ac:dyDescent="0.25">
      <c r="C1205" s="71"/>
      <c r="K1205" s="71"/>
      <c r="L1205" s="71"/>
      <c r="M1205" s="67"/>
      <c r="W1205" s="76"/>
      <c r="X1205" s="57"/>
      <c r="Y1205" s="57"/>
      <c r="Z1205" s="57"/>
      <c r="AA1205" s="57"/>
      <c r="AB1205" s="57"/>
      <c r="AC1205" s="57"/>
      <c r="AD1205" s="57"/>
      <c r="AE1205" s="57"/>
      <c r="AF1205" s="57"/>
      <c r="AG1205" s="57"/>
      <c r="AH1205" s="57"/>
      <c r="AI1205" s="57"/>
      <c r="AJ1205" s="57"/>
      <c r="AK1205" s="57"/>
      <c r="AL1205" s="57"/>
      <c r="AM1205" s="57"/>
      <c r="AN1205" s="57"/>
      <c r="AO1205" s="57"/>
      <c r="AP1205" s="57"/>
      <c r="AQ1205" s="57"/>
      <c r="AR1205" s="57"/>
      <c r="AS1205" s="57"/>
      <c r="AT1205" s="57"/>
      <c r="AU1205" s="57"/>
      <c r="AV1205" s="57"/>
      <c r="AW1205" s="57"/>
      <c r="AX1205" s="57"/>
      <c r="AY1205" s="57"/>
      <c r="AZ1205" s="57"/>
      <c r="BA1205" s="57"/>
    </row>
    <row r="1206" spans="3:53" x14ac:dyDescent="0.25">
      <c r="C1206" s="71"/>
      <c r="K1206" s="71"/>
      <c r="L1206" s="71"/>
      <c r="M1206" s="67"/>
      <c r="W1206" s="76"/>
      <c r="X1206" s="57"/>
      <c r="Y1206" s="57"/>
      <c r="Z1206" s="57"/>
      <c r="AA1206" s="57"/>
      <c r="AB1206" s="57"/>
      <c r="AC1206" s="57"/>
      <c r="AD1206" s="57"/>
      <c r="AE1206" s="57"/>
      <c r="AF1206" s="57"/>
      <c r="AG1206" s="57"/>
      <c r="AH1206" s="57"/>
      <c r="AI1206" s="57"/>
      <c r="AJ1206" s="57"/>
      <c r="AK1206" s="57"/>
      <c r="AL1206" s="57"/>
      <c r="AM1206" s="57"/>
      <c r="AN1206" s="57"/>
      <c r="AO1206" s="57"/>
      <c r="AP1206" s="57"/>
      <c r="AQ1206" s="57"/>
      <c r="AR1206" s="57"/>
      <c r="AS1206" s="57"/>
      <c r="AT1206" s="57"/>
      <c r="AU1206" s="57"/>
      <c r="AV1206" s="57"/>
      <c r="AW1206" s="57"/>
      <c r="AX1206" s="57"/>
      <c r="AY1206" s="57"/>
      <c r="AZ1206" s="57"/>
      <c r="BA1206" s="57"/>
    </row>
    <row r="1207" spans="3:53" x14ac:dyDescent="0.25">
      <c r="C1207" s="71"/>
      <c r="K1207" s="71"/>
      <c r="L1207" s="71"/>
      <c r="M1207" s="67"/>
      <c r="W1207" s="76"/>
      <c r="X1207" s="57"/>
      <c r="Y1207" s="57"/>
      <c r="Z1207" s="57"/>
      <c r="AA1207" s="57"/>
      <c r="AB1207" s="57"/>
      <c r="AC1207" s="57"/>
      <c r="AD1207" s="57"/>
      <c r="AE1207" s="57"/>
      <c r="AF1207" s="57"/>
      <c r="AG1207" s="57"/>
      <c r="AH1207" s="57"/>
      <c r="AI1207" s="57"/>
      <c r="AJ1207" s="57"/>
      <c r="AK1207" s="57"/>
      <c r="AL1207" s="57"/>
      <c r="AM1207" s="57"/>
      <c r="AN1207" s="57"/>
      <c r="AO1207" s="57"/>
      <c r="AP1207" s="57"/>
      <c r="AQ1207" s="57"/>
      <c r="AR1207" s="57"/>
      <c r="AS1207" s="57"/>
      <c r="AT1207" s="57"/>
      <c r="AU1207" s="57"/>
      <c r="AV1207" s="57"/>
      <c r="AW1207" s="57"/>
      <c r="AX1207" s="57"/>
      <c r="AY1207" s="57"/>
      <c r="AZ1207" s="57"/>
      <c r="BA1207" s="57"/>
    </row>
    <row r="1208" spans="3:53" x14ac:dyDescent="0.25">
      <c r="C1208" s="71"/>
      <c r="K1208" s="71"/>
      <c r="L1208" s="71"/>
      <c r="M1208" s="67"/>
      <c r="W1208" s="76"/>
      <c r="X1208" s="57"/>
      <c r="Y1208" s="57"/>
      <c r="Z1208" s="57"/>
      <c r="AA1208" s="57"/>
      <c r="AB1208" s="57"/>
      <c r="AC1208" s="57"/>
      <c r="AD1208" s="57"/>
      <c r="AE1208" s="57"/>
      <c r="AF1208" s="57"/>
      <c r="AG1208" s="57"/>
      <c r="AH1208" s="57"/>
      <c r="AI1208" s="57"/>
      <c r="AJ1208" s="57"/>
      <c r="AK1208" s="57"/>
      <c r="AL1208" s="57"/>
      <c r="AM1208" s="57"/>
      <c r="AN1208" s="57"/>
      <c r="AO1208" s="57"/>
      <c r="AP1208" s="57"/>
      <c r="AQ1208" s="57"/>
      <c r="AR1208" s="57"/>
      <c r="AS1208" s="57"/>
      <c r="AT1208" s="57"/>
      <c r="AU1208" s="57"/>
      <c r="AV1208" s="57"/>
      <c r="AW1208" s="57"/>
      <c r="AX1208" s="57"/>
      <c r="AY1208" s="57"/>
      <c r="AZ1208" s="57"/>
      <c r="BA1208" s="57"/>
    </row>
    <row r="1209" spans="3:53" x14ac:dyDescent="0.25">
      <c r="C1209" s="71"/>
      <c r="K1209" s="71"/>
      <c r="L1209" s="71"/>
      <c r="M1209" s="67"/>
      <c r="W1209" s="76"/>
      <c r="X1209" s="57"/>
      <c r="Y1209" s="57"/>
      <c r="Z1209" s="57"/>
      <c r="AA1209" s="57"/>
      <c r="AB1209" s="57"/>
      <c r="AC1209" s="57"/>
      <c r="AD1209" s="57"/>
      <c r="AE1209" s="57"/>
      <c r="AF1209" s="57"/>
      <c r="AG1209" s="57"/>
      <c r="AH1209" s="57"/>
      <c r="AI1209" s="57"/>
      <c r="AJ1209" s="57"/>
      <c r="AK1209" s="57"/>
      <c r="AL1209" s="57"/>
      <c r="AM1209" s="57"/>
      <c r="AN1209" s="57"/>
      <c r="AO1209" s="57"/>
      <c r="AP1209" s="57"/>
      <c r="AQ1209" s="57"/>
      <c r="AR1209" s="57"/>
      <c r="AS1209" s="57"/>
      <c r="AT1209" s="57"/>
      <c r="AU1209" s="57"/>
      <c r="AV1209" s="57"/>
      <c r="AW1209" s="57"/>
      <c r="AX1209" s="57"/>
      <c r="AY1209" s="57"/>
      <c r="AZ1209" s="57"/>
      <c r="BA1209" s="57"/>
    </row>
    <row r="1210" spans="3:53" x14ac:dyDescent="0.25">
      <c r="C1210" s="71"/>
      <c r="K1210" s="71"/>
      <c r="L1210" s="71"/>
      <c r="M1210" s="67"/>
      <c r="W1210" s="76"/>
      <c r="X1210" s="57"/>
      <c r="Y1210" s="57"/>
      <c r="Z1210" s="57"/>
      <c r="AA1210" s="57"/>
      <c r="AB1210" s="57"/>
      <c r="AC1210" s="57"/>
      <c r="AD1210" s="57"/>
      <c r="AE1210" s="57"/>
      <c r="AF1210" s="57"/>
      <c r="AG1210" s="57"/>
      <c r="AH1210" s="57"/>
      <c r="AI1210" s="57"/>
      <c r="AJ1210" s="57"/>
      <c r="AK1210" s="57"/>
      <c r="AL1210" s="57"/>
      <c r="AM1210" s="57"/>
      <c r="AN1210" s="57"/>
      <c r="AO1210" s="57"/>
      <c r="AP1210" s="57"/>
      <c r="AQ1210" s="57"/>
      <c r="AR1210" s="57"/>
      <c r="AS1210" s="57"/>
      <c r="AT1210" s="57"/>
      <c r="AU1210" s="57"/>
      <c r="AV1210" s="57"/>
      <c r="AW1210" s="57"/>
      <c r="AX1210" s="57"/>
      <c r="AY1210" s="57"/>
      <c r="AZ1210" s="57"/>
      <c r="BA1210" s="57"/>
    </row>
    <row r="1211" spans="3:53" x14ac:dyDescent="0.25">
      <c r="C1211" s="71"/>
      <c r="K1211" s="71"/>
      <c r="L1211" s="71"/>
      <c r="M1211" s="67"/>
      <c r="W1211" s="76"/>
      <c r="X1211" s="57"/>
      <c r="Y1211" s="57"/>
      <c r="Z1211" s="57"/>
      <c r="AA1211" s="57"/>
      <c r="AB1211" s="57"/>
      <c r="AC1211" s="57"/>
      <c r="AD1211" s="57"/>
      <c r="AE1211" s="57"/>
      <c r="AF1211" s="57"/>
      <c r="AG1211" s="57"/>
      <c r="AH1211" s="57"/>
      <c r="AI1211" s="57"/>
      <c r="AJ1211" s="57"/>
      <c r="AK1211" s="57"/>
      <c r="AL1211" s="57"/>
      <c r="AM1211" s="57"/>
      <c r="AN1211" s="57"/>
      <c r="AO1211" s="57"/>
      <c r="AP1211" s="57"/>
      <c r="AQ1211" s="57"/>
      <c r="AR1211" s="57"/>
      <c r="AS1211" s="57"/>
      <c r="AT1211" s="57"/>
      <c r="AU1211" s="57"/>
      <c r="AV1211" s="57"/>
      <c r="AW1211" s="57"/>
      <c r="AX1211" s="57"/>
      <c r="AY1211" s="57"/>
      <c r="AZ1211" s="57"/>
      <c r="BA1211" s="57"/>
    </row>
    <row r="1212" spans="3:53" x14ac:dyDescent="0.25">
      <c r="C1212" s="71"/>
      <c r="K1212" s="71"/>
      <c r="L1212" s="71"/>
      <c r="M1212" s="67"/>
      <c r="W1212" s="76"/>
      <c r="X1212" s="57"/>
      <c r="Y1212" s="57"/>
      <c r="Z1212" s="57"/>
      <c r="AA1212" s="57"/>
      <c r="AB1212" s="57"/>
      <c r="AC1212" s="57"/>
      <c r="AD1212" s="57"/>
      <c r="AE1212" s="57"/>
      <c r="AF1212" s="57"/>
      <c r="AG1212" s="57"/>
      <c r="AH1212" s="57"/>
      <c r="AI1212" s="57"/>
      <c r="AJ1212" s="57"/>
      <c r="AK1212" s="57"/>
      <c r="AL1212" s="57"/>
      <c r="AM1212" s="57"/>
      <c r="AN1212" s="57"/>
      <c r="AO1212" s="57"/>
      <c r="AP1212" s="57"/>
      <c r="AQ1212" s="57"/>
      <c r="AR1212" s="57"/>
      <c r="AS1212" s="57"/>
      <c r="AT1212" s="57"/>
      <c r="AU1212" s="57"/>
      <c r="AV1212" s="57"/>
      <c r="AW1212" s="57"/>
      <c r="AX1212" s="57"/>
      <c r="AY1212" s="57"/>
      <c r="AZ1212" s="57"/>
      <c r="BA1212" s="57"/>
    </row>
    <row r="1213" spans="3:53" x14ac:dyDescent="0.25">
      <c r="C1213" s="71"/>
      <c r="K1213" s="71"/>
      <c r="L1213" s="71"/>
      <c r="M1213" s="67"/>
      <c r="W1213" s="76"/>
      <c r="X1213" s="57"/>
      <c r="Y1213" s="57"/>
      <c r="Z1213" s="57"/>
      <c r="AA1213" s="57"/>
      <c r="AB1213" s="57"/>
      <c r="AC1213" s="57"/>
      <c r="AD1213" s="57"/>
      <c r="AE1213" s="57"/>
      <c r="AF1213" s="57"/>
      <c r="AG1213" s="57"/>
      <c r="AH1213" s="57"/>
      <c r="AI1213" s="57"/>
      <c r="AJ1213" s="57"/>
      <c r="AK1213" s="57"/>
      <c r="AL1213" s="57"/>
      <c r="AM1213" s="57"/>
      <c r="AN1213" s="57"/>
      <c r="AO1213" s="57"/>
      <c r="AP1213" s="57"/>
      <c r="AQ1213" s="57"/>
      <c r="AR1213" s="57"/>
      <c r="AS1213" s="57"/>
      <c r="AT1213" s="57"/>
      <c r="AU1213" s="57"/>
      <c r="AV1213" s="57"/>
      <c r="AW1213" s="57"/>
      <c r="AX1213" s="57"/>
      <c r="AY1213" s="57"/>
      <c r="AZ1213" s="57"/>
      <c r="BA1213" s="57"/>
    </row>
    <row r="1214" spans="3:53" x14ac:dyDescent="0.25">
      <c r="C1214" s="71"/>
      <c r="K1214" s="71"/>
      <c r="L1214" s="71"/>
      <c r="M1214" s="67"/>
      <c r="W1214" s="76"/>
      <c r="X1214" s="57"/>
      <c r="Y1214" s="57"/>
      <c r="Z1214" s="57"/>
      <c r="AA1214" s="57"/>
      <c r="AB1214" s="57"/>
      <c r="AC1214" s="57"/>
      <c r="AD1214" s="57"/>
      <c r="AE1214" s="57"/>
      <c r="AF1214" s="57"/>
      <c r="AG1214" s="57"/>
      <c r="AH1214" s="57"/>
      <c r="AI1214" s="57"/>
      <c r="AJ1214" s="57"/>
      <c r="AK1214" s="57"/>
      <c r="AL1214" s="57"/>
      <c r="AM1214" s="57"/>
      <c r="AN1214" s="57"/>
      <c r="AO1214" s="57"/>
      <c r="AP1214" s="57"/>
      <c r="AQ1214" s="57"/>
      <c r="AR1214" s="57"/>
      <c r="AS1214" s="57"/>
      <c r="AT1214" s="57"/>
      <c r="AU1214" s="57"/>
      <c r="AV1214" s="57"/>
      <c r="AW1214" s="57"/>
      <c r="AX1214" s="57"/>
      <c r="AY1214" s="57"/>
      <c r="AZ1214" s="57"/>
      <c r="BA1214" s="57"/>
    </row>
    <row r="1215" spans="3:53" x14ac:dyDescent="0.25">
      <c r="C1215" s="71"/>
      <c r="K1215" s="71"/>
      <c r="L1215" s="71"/>
      <c r="M1215" s="67"/>
      <c r="W1215" s="76"/>
      <c r="X1215" s="57"/>
      <c r="Y1215" s="57"/>
      <c r="Z1215" s="57"/>
      <c r="AA1215" s="57"/>
      <c r="AB1215" s="57"/>
      <c r="AC1215" s="57"/>
      <c r="AD1215" s="57"/>
      <c r="AE1215" s="57"/>
      <c r="AF1215" s="57"/>
      <c r="AG1215" s="57"/>
      <c r="AH1215" s="57"/>
      <c r="AI1215" s="57"/>
      <c r="AJ1215" s="57"/>
      <c r="AK1215" s="57"/>
      <c r="AL1215" s="57"/>
      <c r="AM1215" s="57"/>
      <c r="AN1215" s="57"/>
      <c r="AO1215" s="57"/>
      <c r="AP1215" s="57"/>
      <c r="AQ1215" s="57"/>
      <c r="AR1215" s="57"/>
      <c r="AS1215" s="57"/>
      <c r="AT1215" s="57"/>
      <c r="AU1215" s="57"/>
      <c r="AV1215" s="57"/>
      <c r="AW1215" s="57"/>
      <c r="AX1215" s="57"/>
      <c r="AY1215" s="57"/>
      <c r="AZ1215" s="57"/>
      <c r="BA1215" s="57"/>
    </row>
    <row r="1216" spans="3:53" x14ac:dyDescent="0.25">
      <c r="C1216" s="71"/>
      <c r="K1216" s="71"/>
      <c r="L1216" s="71"/>
      <c r="M1216" s="67"/>
      <c r="W1216" s="76"/>
      <c r="X1216" s="57"/>
      <c r="Y1216" s="57"/>
      <c r="Z1216" s="57"/>
      <c r="AA1216" s="57"/>
      <c r="AB1216" s="57"/>
      <c r="AC1216" s="57"/>
      <c r="AD1216" s="57"/>
      <c r="AE1216" s="57"/>
      <c r="AF1216" s="57"/>
      <c r="AG1216" s="57"/>
      <c r="AH1216" s="57"/>
      <c r="AI1216" s="57"/>
      <c r="AJ1216" s="57"/>
      <c r="AK1216" s="57"/>
      <c r="AL1216" s="57"/>
      <c r="AM1216" s="57"/>
      <c r="AN1216" s="57"/>
      <c r="AO1216" s="57"/>
      <c r="AP1216" s="57"/>
      <c r="AQ1216" s="57"/>
      <c r="AR1216" s="57"/>
      <c r="AS1216" s="57"/>
      <c r="AT1216" s="57"/>
      <c r="AU1216" s="57"/>
      <c r="AV1216" s="57"/>
      <c r="AW1216" s="57"/>
      <c r="AX1216" s="57"/>
      <c r="AY1216" s="57"/>
      <c r="AZ1216" s="57"/>
      <c r="BA1216" s="57"/>
    </row>
    <row r="1217" spans="3:53" x14ac:dyDescent="0.25">
      <c r="C1217" s="71"/>
      <c r="K1217" s="71"/>
      <c r="L1217" s="71"/>
      <c r="M1217" s="67"/>
      <c r="W1217" s="76"/>
      <c r="X1217" s="57"/>
      <c r="Y1217" s="57"/>
      <c r="Z1217" s="57"/>
      <c r="AA1217" s="57"/>
      <c r="AB1217" s="57"/>
      <c r="AC1217" s="57"/>
      <c r="AD1217" s="57"/>
      <c r="AE1217" s="57"/>
      <c r="AF1217" s="57"/>
      <c r="AG1217" s="57"/>
      <c r="AH1217" s="57"/>
      <c r="AI1217" s="57"/>
      <c r="AJ1217" s="57"/>
      <c r="AK1217" s="57"/>
      <c r="AL1217" s="57"/>
      <c r="AM1217" s="57"/>
      <c r="AN1217" s="57"/>
      <c r="AO1217" s="57"/>
      <c r="AP1217" s="57"/>
      <c r="AQ1217" s="57"/>
      <c r="AR1217" s="57"/>
      <c r="AS1217" s="57"/>
      <c r="AT1217" s="57"/>
      <c r="AU1217" s="57"/>
      <c r="AV1217" s="57"/>
      <c r="AW1217" s="57"/>
      <c r="AX1217" s="57"/>
      <c r="AY1217" s="57"/>
      <c r="AZ1217" s="57"/>
      <c r="BA1217" s="57"/>
    </row>
    <row r="1218" spans="3:53" x14ac:dyDescent="0.25">
      <c r="C1218" s="71"/>
      <c r="K1218" s="71"/>
      <c r="L1218" s="71"/>
      <c r="M1218" s="67"/>
      <c r="W1218" s="76"/>
      <c r="X1218" s="57"/>
      <c r="Y1218" s="57"/>
      <c r="Z1218" s="57"/>
      <c r="AA1218" s="57"/>
      <c r="AB1218" s="57"/>
      <c r="AC1218" s="57"/>
      <c r="AD1218" s="57"/>
      <c r="AE1218" s="57"/>
      <c r="AF1218" s="57"/>
      <c r="AG1218" s="57"/>
      <c r="AH1218" s="57"/>
      <c r="AI1218" s="57"/>
      <c r="AJ1218" s="57"/>
      <c r="AK1218" s="57"/>
      <c r="AL1218" s="57"/>
      <c r="AM1218" s="57"/>
      <c r="AN1218" s="57"/>
      <c r="AO1218" s="57"/>
      <c r="AP1218" s="57"/>
      <c r="AQ1218" s="57"/>
      <c r="AR1218" s="57"/>
      <c r="AS1218" s="57"/>
      <c r="AT1218" s="57"/>
      <c r="AU1218" s="57"/>
      <c r="AV1218" s="57"/>
      <c r="AW1218" s="57"/>
      <c r="AX1218" s="57"/>
      <c r="AY1218" s="57"/>
      <c r="AZ1218" s="57"/>
      <c r="BA1218" s="57"/>
    </row>
    <row r="1219" spans="3:53" x14ac:dyDescent="0.25">
      <c r="C1219" s="71"/>
      <c r="K1219" s="71"/>
      <c r="L1219" s="71"/>
      <c r="M1219" s="67"/>
      <c r="W1219" s="76"/>
      <c r="X1219" s="57"/>
      <c r="Y1219" s="57"/>
      <c r="Z1219" s="57"/>
      <c r="AA1219" s="57"/>
      <c r="AB1219" s="57"/>
      <c r="AC1219" s="57"/>
      <c r="AD1219" s="57"/>
      <c r="AE1219" s="57"/>
      <c r="AF1219" s="57"/>
      <c r="AG1219" s="57"/>
      <c r="AH1219" s="57"/>
      <c r="AI1219" s="57"/>
      <c r="AJ1219" s="57"/>
      <c r="AK1219" s="57"/>
      <c r="AL1219" s="57"/>
      <c r="AM1219" s="57"/>
      <c r="AN1219" s="57"/>
      <c r="AO1219" s="57"/>
      <c r="AP1219" s="57"/>
      <c r="AQ1219" s="57"/>
      <c r="AR1219" s="57"/>
      <c r="AS1219" s="57"/>
      <c r="AT1219" s="57"/>
      <c r="AU1219" s="57"/>
      <c r="AV1219" s="57"/>
      <c r="AW1219" s="57"/>
      <c r="AX1219" s="57"/>
      <c r="AY1219" s="57"/>
      <c r="AZ1219" s="57"/>
      <c r="BA1219" s="57"/>
    </row>
    <row r="1220" spans="3:53" x14ac:dyDescent="0.25">
      <c r="C1220" s="71"/>
      <c r="K1220" s="71"/>
      <c r="L1220" s="71"/>
      <c r="M1220" s="67"/>
      <c r="W1220" s="76"/>
      <c r="X1220" s="57"/>
      <c r="Y1220" s="57"/>
      <c r="Z1220" s="57"/>
      <c r="AA1220" s="57"/>
      <c r="AB1220" s="57"/>
      <c r="AC1220" s="57"/>
      <c r="AD1220" s="57"/>
      <c r="AE1220" s="57"/>
      <c r="AF1220" s="57"/>
      <c r="AG1220" s="57"/>
      <c r="AH1220" s="57"/>
      <c r="AI1220" s="57"/>
      <c r="AJ1220" s="57"/>
      <c r="AK1220" s="57"/>
      <c r="AL1220" s="57"/>
      <c r="AM1220" s="57"/>
      <c r="AN1220" s="57"/>
      <c r="AO1220" s="57"/>
      <c r="AP1220" s="57"/>
      <c r="AQ1220" s="57"/>
      <c r="AR1220" s="57"/>
      <c r="AS1220" s="57"/>
      <c r="AT1220" s="57"/>
      <c r="AU1220" s="57"/>
      <c r="AV1220" s="57"/>
      <c r="AW1220" s="57"/>
      <c r="AX1220" s="57"/>
      <c r="AY1220" s="57"/>
      <c r="AZ1220" s="57"/>
      <c r="BA1220" s="57"/>
    </row>
    <row r="1221" spans="3:53" x14ac:dyDescent="0.25">
      <c r="C1221" s="71"/>
      <c r="K1221" s="71"/>
      <c r="L1221" s="71"/>
      <c r="M1221" s="67"/>
      <c r="W1221" s="76"/>
      <c r="X1221" s="57"/>
      <c r="Y1221" s="57"/>
      <c r="Z1221" s="57"/>
      <c r="AA1221" s="57"/>
      <c r="AB1221" s="57"/>
      <c r="AC1221" s="57"/>
      <c r="AD1221" s="57"/>
      <c r="AE1221" s="57"/>
      <c r="AF1221" s="57"/>
      <c r="AG1221" s="57"/>
      <c r="AH1221" s="57"/>
      <c r="AI1221" s="57"/>
      <c r="AJ1221" s="57"/>
      <c r="AK1221" s="57"/>
      <c r="AL1221" s="57"/>
      <c r="AM1221" s="57"/>
      <c r="AN1221" s="57"/>
      <c r="AO1221" s="57"/>
      <c r="AP1221" s="57"/>
      <c r="AQ1221" s="57"/>
      <c r="AR1221" s="57"/>
      <c r="AS1221" s="57"/>
      <c r="AT1221" s="57"/>
      <c r="AU1221" s="57"/>
      <c r="AV1221" s="57"/>
      <c r="AW1221" s="57"/>
      <c r="AX1221" s="57"/>
      <c r="AY1221" s="57"/>
      <c r="AZ1221" s="57"/>
      <c r="BA1221" s="57"/>
    </row>
    <row r="1222" spans="3:53" x14ac:dyDescent="0.25">
      <c r="C1222" s="71"/>
      <c r="K1222" s="71"/>
      <c r="L1222" s="71"/>
      <c r="M1222" s="67"/>
      <c r="W1222" s="76"/>
      <c r="X1222" s="57"/>
      <c r="Y1222" s="57"/>
      <c r="Z1222" s="57"/>
      <c r="AA1222" s="57"/>
      <c r="AB1222" s="57"/>
      <c r="AC1222" s="57"/>
      <c r="AD1222" s="57"/>
      <c r="AE1222" s="57"/>
      <c r="AF1222" s="57"/>
      <c r="AG1222" s="57"/>
      <c r="AH1222" s="57"/>
      <c r="AI1222" s="57"/>
      <c r="AJ1222" s="57"/>
      <c r="AK1222" s="57"/>
      <c r="AL1222" s="57"/>
      <c r="AM1222" s="57"/>
      <c r="AN1222" s="57"/>
      <c r="AO1222" s="57"/>
      <c r="AP1222" s="57"/>
      <c r="AQ1222" s="57"/>
      <c r="AR1222" s="57"/>
      <c r="AS1222" s="57"/>
      <c r="AT1222" s="57"/>
      <c r="AU1222" s="57"/>
      <c r="AV1222" s="57"/>
      <c r="AW1222" s="57"/>
      <c r="AX1222" s="57"/>
      <c r="AY1222" s="57"/>
      <c r="AZ1222" s="57"/>
      <c r="BA1222" s="57"/>
    </row>
    <row r="1223" spans="3:53" x14ac:dyDescent="0.25">
      <c r="C1223" s="71"/>
      <c r="K1223" s="71"/>
      <c r="L1223" s="71"/>
      <c r="M1223" s="67"/>
      <c r="W1223" s="76"/>
      <c r="X1223" s="57"/>
      <c r="Y1223" s="57"/>
      <c r="Z1223" s="57"/>
      <c r="AA1223" s="57"/>
      <c r="AB1223" s="57"/>
      <c r="AC1223" s="57"/>
      <c r="AD1223" s="57"/>
      <c r="AE1223" s="57"/>
      <c r="AF1223" s="57"/>
      <c r="AG1223" s="57"/>
      <c r="AH1223" s="57"/>
      <c r="AI1223" s="57"/>
      <c r="AJ1223" s="57"/>
      <c r="AK1223" s="57"/>
      <c r="AL1223" s="57"/>
      <c r="AM1223" s="57"/>
      <c r="AN1223" s="57"/>
      <c r="AO1223" s="57"/>
      <c r="AP1223" s="57"/>
      <c r="AQ1223" s="57"/>
      <c r="AR1223" s="57"/>
      <c r="AS1223" s="57"/>
      <c r="AT1223" s="57"/>
      <c r="AU1223" s="57"/>
      <c r="AV1223" s="57"/>
      <c r="AW1223" s="57"/>
      <c r="AX1223" s="57"/>
      <c r="AY1223" s="57"/>
      <c r="AZ1223" s="57"/>
      <c r="BA1223" s="57"/>
    </row>
    <row r="1224" spans="3:53" x14ac:dyDescent="0.25">
      <c r="C1224" s="71"/>
      <c r="K1224" s="71"/>
      <c r="L1224" s="71"/>
      <c r="M1224" s="67"/>
      <c r="W1224" s="76"/>
      <c r="X1224" s="57"/>
      <c r="Y1224" s="57"/>
      <c r="Z1224" s="57"/>
      <c r="AA1224" s="57"/>
      <c r="AB1224" s="57"/>
      <c r="AC1224" s="57"/>
      <c r="AD1224" s="57"/>
      <c r="AE1224" s="57"/>
      <c r="AF1224" s="57"/>
      <c r="AG1224" s="57"/>
      <c r="AH1224" s="57"/>
      <c r="AI1224" s="57"/>
      <c r="AJ1224" s="57"/>
      <c r="AK1224" s="57"/>
      <c r="AL1224" s="57"/>
      <c r="AM1224" s="57"/>
      <c r="AN1224" s="57"/>
      <c r="AO1224" s="57"/>
      <c r="AP1224" s="57"/>
      <c r="AQ1224" s="57"/>
      <c r="AR1224" s="57"/>
      <c r="AS1224" s="57"/>
      <c r="AT1224" s="57"/>
      <c r="AU1224" s="57"/>
      <c r="AV1224" s="57"/>
      <c r="AW1224" s="57"/>
      <c r="AX1224" s="57"/>
      <c r="AY1224" s="57"/>
      <c r="AZ1224" s="57"/>
      <c r="BA1224" s="57"/>
    </row>
    <row r="1225" spans="3:53" x14ac:dyDescent="0.25">
      <c r="C1225" s="71"/>
      <c r="K1225" s="71"/>
      <c r="L1225" s="71"/>
      <c r="M1225" s="67"/>
      <c r="W1225" s="76"/>
      <c r="X1225" s="57"/>
      <c r="Y1225" s="57"/>
      <c r="Z1225" s="57"/>
      <c r="AA1225" s="57"/>
      <c r="AB1225" s="57"/>
      <c r="AC1225" s="57"/>
      <c r="AD1225" s="57"/>
      <c r="AE1225" s="57"/>
      <c r="AF1225" s="57"/>
      <c r="AG1225" s="57"/>
      <c r="AH1225" s="57"/>
      <c r="AI1225" s="57"/>
      <c r="AJ1225" s="57"/>
      <c r="AK1225" s="57"/>
      <c r="AL1225" s="57"/>
      <c r="AM1225" s="57"/>
      <c r="AN1225" s="57"/>
      <c r="AO1225" s="57"/>
      <c r="AP1225" s="57"/>
      <c r="AQ1225" s="57"/>
      <c r="AR1225" s="57"/>
      <c r="AS1225" s="57"/>
      <c r="AT1225" s="57"/>
      <c r="AU1225" s="57"/>
      <c r="AV1225" s="57"/>
      <c r="AW1225" s="57"/>
      <c r="AX1225" s="57"/>
      <c r="AY1225" s="57"/>
      <c r="AZ1225" s="57"/>
      <c r="BA1225" s="57"/>
    </row>
    <row r="1226" spans="3:53" x14ac:dyDescent="0.25">
      <c r="C1226" s="71"/>
      <c r="K1226" s="71"/>
      <c r="L1226" s="71"/>
      <c r="M1226" s="67"/>
      <c r="W1226" s="76"/>
      <c r="X1226" s="57"/>
      <c r="Y1226" s="57"/>
      <c r="Z1226" s="57"/>
      <c r="AA1226" s="57"/>
      <c r="AB1226" s="57"/>
      <c r="AC1226" s="57"/>
      <c r="AD1226" s="57"/>
      <c r="AE1226" s="57"/>
      <c r="AF1226" s="57"/>
      <c r="AG1226" s="57"/>
      <c r="AH1226" s="57"/>
      <c r="AI1226" s="57"/>
      <c r="AJ1226" s="57"/>
      <c r="AK1226" s="57"/>
      <c r="AL1226" s="57"/>
      <c r="AM1226" s="57"/>
      <c r="AN1226" s="57"/>
      <c r="AO1226" s="57"/>
      <c r="AP1226" s="57"/>
      <c r="AQ1226" s="57"/>
      <c r="AR1226" s="57"/>
      <c r="AS1226" s="57"/>
      <c r="AT1226" s="57"/>
      <c r="AU1226" s="57"/>
      <c r="AV1226" s="57"/>
      <c r="AW1226" s="57"/>
      <c r="AX1226" s="57"/>
      <c r="AY1226" s="57"/>
      <c r="AZ1226" s="57"/>
      <c r="BA1226" s="57"/>
    </row>
    <row r="1227" spans="3:53" x14ac:dyDescent="0.25">
      <c r="C1227" s="71"/>
      <c r="K1227" s="71"/>
      <c r="L1227" s="71"/>
      <c r="M1227" s="67"/>
      <c r="W1227" s="76"/>
      <c r="X1227" s="57"/>
      <c r="Y1227" s="57"/>
      <c r="Z1227" s="57"/>
      <c r="AA1227" s="57"/>
      <c r="AB1227" s="57"/>
      <c r="AC1227" s="57"/>
      <c r="AD1227" s="57"/>
      <c r="AE1227" s="57"/>
      <c r="AF1227" s="57"/>
      <c r="AG1227" s="57"/>
      <c r="AH1227" s="57"/>
      <c r="AI1227" s="57"/>
      <c r="AJ1227" s="57"/>
      <c r="AK1227" s="57"/>
      <c r="AL1227" s="57"/>
      <c r="AM1227" s="57"/>
      <c r="AN1227" s="57"/>
      <c r="AO1227" s="57"/>
      <c r="AP1227" s="57"/>
      <c r="AQ1227" s="57"/>
      <c r="AR1227" s="57"/>
      <c r="AS1227" s="57"/>
      <c r="AT1227" s="57"/>
      <c r="AU1227" s="57"/>
      <c r="AV1227" s="57"/>
      <c r="AW1227" s="57"/>
      <c r="AX1227" s="57"/>
      <c r="AY1227" s="57"/>
      <c r="AZ1227" s="57"/>
      <c r="BA1227" s="57"/>
    </row>
    <row r="1228" spans="3:53" x14ac:dyDescent="0.25">
      <c r="C1228" s="71"/>
      <c r="K1228" s="71"/>
      <c r="L1228" s="71"/>
      <c r="M1228" s="67"/>
      <c r="W1228" s="76"/>
      <c r="X1228" s="57"/>
      <c r="Y1228" s="57"/>
      <c r="Z1228" s="57"/>
      <c r="AA1228" s="57"/>
      <c r="AB1228" s="57"/>
      <c r="AC1228" s="57"/>
      <c r="AD1228" s="57"/>
      <c r="AE1228" s="57"/>
      <c r="AF1228" s="57"/>
      <c r="AG1228" s="57"/>
      <c r="AH1228" s="57"/>
      <c r="AI1228" s="57"/>
      <c r="AJ1228" s="57"/>
      <c r="AK1228" s="57"/>
      <c r="AL1228" s="57"/>
      <c r="AM1228" s="57"/>
      <c r="AN1228" s="57"/>
      <c r="AO1228" s="57"/>
      <c r="AP1228" s="57"/>
      <c r="AQ1228" s="57"/>
      <c r="AR1228" s="57"/>
      <c r="AS1228" s="57"/>
      <c r="AT1228" s="57"/>
      <c r="AU1228" s="57"/>
      <c r="AV1228" s="57"/>
      <c r="AW1228" s="57"/>
      <c r="AX1228" s="57"/>
      <c r="AY1228" s="57"/>
      <c r="AZ1228" s="57"/>
      <c r="BA1228" s="57"/>
    </row>
    <row r="1229" spans="3:53" x14ac:dyDescent="0.25">
      <c r="C1229" s="71"/>
      <c r="K1229" s="71"/>
      <c r="L1229" s="71"/>
      <c r="M1229" s="67"/>
      <c r="W1229" s="76"/>
      <c r="X1229" s="57"/>
      <c r="Y1229" s="57"/>
      <c r="Z1229" s="57"/>
      <c r="AA1229" s="57"/>
      <c r="AB1229" s="57"/>
      <c r="AC1229" s="57"/>
      <c r="AD1229" s="57"/>
      <c r="AE1229" s="57"/>
      <c r="AF1229" s="57"/>
      <c r="AG1229" s="57"/>
      <c r="AH1229" s="57"/>
      <c r="AI1229" s="57"/>
      <c r="AJ1229" s="57"/>
      <c r="AK1229" s="57"/>
      <c r="AL1229" s="57"/>
      <c r="AM1229" s="57"/>
      <c r="AN1229" s="57"/>
      <c r="AO1229" s="57"/>
      <c r="AP1229" s="57"/>
      <c r="AQ1229" s="57"/>
      <c r="AR1229" s="57"/>
      <c r="AS1229" s="57"/>
      <c r="AT1229" s="57"/>
      <c r="AU1229" s="57"/>
      <c r="AV1229" s="57"/>
      <c r="AW1229" s="57"/>
      <c r="AX1229" s="57"/>
      <c r="AY1229" s="57"/>
      <c r="AZ1229" s="57"/>
      <c r="BA1229" s="57"/>
    </row>
    <row r="1230" spans="3:53" x14ac:dyDescent="0.25">
      <c r="C1230" s="71"/>
      <c r="K1230" s="71"/>
      <c r="L1230" s="71"/>
      <c r="M1230" s="67"/>
      <c r="W1230" s="76"/>
      <c r="X1230" s="57"/>
      <c r="Y1230" s="57"/>
      <c r="Z1230" s="57"/>
      <c r="AA1230" s="57"/>
      <c r="AB1230" s="57"/>
      <c r="AC1230" s="57"/>
      <c r="AD1230" s="57"/>
      <c r="AE1230" s="57"/>
      <c r="AF1230" s="57"/>
      <c r="AG1230" s="57"/>
      <c r="AH1230" s="57"/>
      <c r="AI1230" s="57"/>
      <c r="AJ1230" s="57"/>
      <c r="AK1230" s="57"/>
      <c r="AL1230" s="57"/>
      <c r="AM1230" s="57"/>
      <c r="AN1230" s="57"/>
      <c r="AO1230" s="57"/>
      <c r="AP1230" s="57"/>
      <c r="AQ1230" s="57"/>
      <c r="AR1230" s="57"/>
      <c r="AS1230" s="57"/>
      <c r="AT1230" s="57"/>
      <c r="AU1230" s="57"/>
      <c r="AV1230" s="57"/>
      <c r="AW1230" s="57"/>
      <c r="AX1230" s="57"/>
      <c r="AY1230" s="57"/>
      <c r="AZ1230" s="57"/>
      <c r="BA1230" s="57"/>
    </row>
    <row r="1231" spans="3:53" x14ac:dyDescent="0.25">
      <c r="C1231" s="71"/>
      <c r="K1231" s="71"/>
      <c r="L1231" s="71"/>
      <c r="M1231" s="67"/>
      <c r="W1231" s="76"/>
      <c r="X1231" s="57"/>
      <c r="Y1231" s="57"/>
      <c r="Z1231" s="57"/>
      <c r="AA1231" s="57"/>
      <c r="AB1231" s="57"/>
      <c r="AC1231" s="57"/>
      <c r="AD1231" s="57"/>
      <c r="AE1231" s="57"/>
      <c r="AF1231" s="57"/>
      <c r="AG1231" s="57"/>
      <c r="AH1231" s="57"/>
      <c r="AI1231" s="57"/>
      <c r="AJ1231" s="57"/>
      <c r="AK1231" s="57"/>
      <c r="AL1231" s="57"/>
      <c r="AM1231" s="57"/>
      <c r="AN1231" s="57"/>
      <c r="AO1231" s="57"/>
      <c r="AP1231" s="57"/>
      <c r="AQ1231" s="57"/>
      <c r="AR1231" s="57"/>
      <c r="AS1231" s="57"/>
      <c r="AT1231" s="57"/>
      <c r="AU1231" s="57"/>
      <c r="AV1231" s="57"/>
      <c r="AW1231" s="57"/>
      <c r="AX1231" s="57"/>
      <c r="AY1231" s="57"/>
      <c r="AZ1231" s="57"/>
      <c r="BA1231" s="57"/>
    </row>
    <row r="1232" spans="3:53" x14ac:dyDescent="0.25">
      <c r="C1232" s="71"/>
      <c r="K1232" s="71"/>
      <c r="L1232" s="71"/>
      <c r="M1232" s="67"/>
      <c r="W1232" s="76"/>
      <c r="X1232" s="57"/>
      <c r="Y1232" s="57"/>
      <c r="Z1232" s="57"/>
      <c r="AA1232" s="57"/>
      <c r="AB1232" s="57"/>
      <c r="AC1232" s="57"/>
      <c r="AD1232" s="57"/>
      <c r="AE1232" s="57"/>
      <c r="AF1232" s="57"/>
      <c r="AG1232" s="57"/>
      <c r="AH1232" s="57"/>
      <c r="AI1232" s="57"/>
      <c r="AJ1232" s="57"/>
      <c r="AK1232" s="57"/>
      <c r="AL1232" s="57"/>
      <c r="AM1232" s="57"/>
      <c r="AN1232" s="57"/>
      <c r="AO1232" s="57"/>
      <c r="AP1232" s="57"/>
      <c r="AQ1232" s="57"/>
      <c r="AR1232" s="57"/>
      <c r="AS1232" s="57"/>
      <c r="AT1232" s="57"/>
      <c r="AU1232" s="57"/>
      <c r="AV1232" s="57"/>
      <c r="AW1232" s="57"/>
      <c r="AX1232" s="57"/>
      <c r="AY1232" s="57"/>
      <c r="AZ1232" s="57"/>
      <c r="BA1232" s="57"/>
    </row>
    <row r="1233" spans="3:53" x14ac:dyDescent="0.25">
      <c r="C1233" s="71"/>
      <c r="K1233" s="71"/>
      <c r="L1233" s="71"/>
      <c r="M1233" s="67"/>
      <c r="W1233" s="76"/>
      <c r="X1233" s="57"/>
      <c r="Y1233" s="57"/>
      <c r="Z1233" s="57"/>
      <c r="AA1233" s="57"/>
      <c r="AB1233" s="57"/>
      <c r="AC1233" s="57"/>
      <c r="AD1233" s="57"/>
      <c r="AE1233" s="57"/>
      <c r="AF1233" s="57"/>
      <c r="AG1233" s="57"/>
      <c r="AH1233" s="57"/>
      <c r="AI1233" s="57"/>
      <c r="AJ1233" s="57"/>
      <c r="AK1233" s="57"/>
      <c r="AL1233" s="57"/>
      <c r="AM1233" s="57"/>
      <c r="AN1233" s="57"/>
      <c r="AO1233" s="57"/>
      <c r="AP1233" s="57"/>
      <c r="AQ1233" s="57"/>
      <c r="AR1233" s="57"/>
      <c r="AS1233" s="57"/>
      <c r="AT1233" s="57"/>
      <c r="AU1233" s="57"/>
      <c r="AV1233" s="57"/>
      <c r="AW1233" s="57"/>
      <c r="AX1233" s="57"/>
      <c r="AY1233" s="57"/>
      <c r="AZ1233" s="57"/>
      <c r="BA1233" s="57"/>
    </row>
    <row r="1234" spans="3:53" x14ac:dyDescent="0.25">
      <c r="C1234" s="71"/>
      <c r="K1234" s="71"/>
      <c r="L1234" s="71"/>
      <c r="M1234" s="67"/>
      <c r="W1234" s="76"/>
      <c r="X1234" s="57"/>
      <c r="Y1234" s="57"/>
      <c r="Z1234" s="57"/>
      <c r="AA1234" s="57"/>
      <c r="AB1234" s="57"/>
      <c r="AC1234" s="57"/>
      <c r="AD1234" s="57"/>
      <c r="AE1234" s="57"/>
      <c r="AF1234" s="57"/>
      <c r="AG1234" s="57"/>
      <c r="AH1234" s="57"/>
      <c r="AI1234" s="57"/>
      <c r="AJ1234" s="57"/>
      <c r="AK1234" s="57"/>
      <c r="AL1234" s="57"/>
      <c r="AM1234" s="57"/>
      <c r="AN1234" s="57"/>
      <c r="AO1234" s="57"/>
      <c r="AP1234" s="57"/>
      <c r="AQ1234" s="57"/>
      <c r="AR1234" s="57"/>
      <c r="AS1234" s="57"/>
      <c r="AT1234" s="57"/>
      <c r="AU1234" s="57"/>
      <c r="AV1234" s="57"/>
      <c r="AW1234" s="57"/>
      <c r="AX1234" s="57"/>
      <c r="AY1234" s="57"/>
      <c r="AZ1234" s="57"/>
      <c r="BA1234" s="57"/>
    </row>
    <row r="1235" spans="3:53" x14ac:dyDescent="0.25">
      <c r="C1235" s="71"/>
      <c r="K1235" s="71"/>
      <c r="L1235" s="71"/>
      <c r="M1235" s="67"/>
      <c r="W1235" s="76"/>
      <c r="X1235" s="57"/>
      <c r="Y1235" s="57"/>
      <c r="Z1235" s="57"/>
      <c r="AA1235" s="57"/>
      <c r="AB1235" s="57"/>
      <c r="AC1235" s="57"/>
      <c r="AD1235" s="57"/>
      <c r="AE1235" s="57"/>
      <c r="AF1235" s="57"/>
      <c r="AG1235" s="57"/>
      <c r="AH1235" s="57"/>
      <c r="AI1235" s="57"/>
      <c r="AJ1235" s="57"/>
      <c r="AK1235" s="57"/>
      <c r="AL1235" s="57"/>
      <c r="AM1235" s="57"/>
      <c r="AN1235" s="57"/>
      <c r="AO1235" s="57"/>
      <c r="AP1235" s="57"/>
      <c r="AQ1235" s="57"/>
      <c r="AR1235" s="57"/>
      <c r="AS1235" s="57"/>
      <c r="AT1235" s="57"/>
      <c r="AU1235" s="57"/>
      <c r="AV1235" s="57"/>
      <c r="AW1235" s="57"/>
      <c r="AX1235" s="57"/>
      <c r="AY1235" s="57"/>
      <c r="AZ1235" s="57"/>
      <c r="BA1235" s="57"/>
    </row>
    <row r="1236" spans="3:53" x14ac:dyDescent="0.25">
      <c r="C1236" s="71"/>
      <c r="K1236" s="71"/>
      <c r="L1236" s="71"/>
      <c r="M1236" s="67"/>
      <c r="W1236" s="76"/>
      <c r="X1236" s="57"/>
      <c r="Y1236" s="57"/>
      <c r="Z1236" s="57"/>
      <c r="AA1236" s="57"/>
      <c r="AB1236" s="57"/>
      <c r="AC1236" s="57"/>
      <c r="AD1236" s="57"/>
      <c r="AE1236" s="57"/>
      <c r="AF1236" s="57"/>
      <c r="AG1236" s="57"/>
      <c r="AH1236" s="57"/>
      <c r="AI1236" s="57"/>
      <c r="AJ1236" s="57"/>
      <c r="AK1236" s="57"/>
      <c r="AL1236" s="57"/>
      <c r="AM1236" s="57"/>
      <c r="AN1236" s="57"/>
      <c r="AO1236" s="57"/>
      <c r="AP1236" s="57"/>
      <c r="AQ1236" s="57"/>
      <c r="AR1236" s="57"/>
      <c r="AS1236" s="57"/>
      <c r="AT1236" s="57"/>
      <c r="AU1236" s="57"/>
      <c r="AV1236" s="57"/>
      <c r="AW1236" s="57"/>
      <c r="AX1236" s="57"/>
      <c r="AY1236" s="57"/>
      <c r="AZ1236" s="57"/>
      <c r="BA1236" s="57"/>
    </row>
    <row r="1237" spans="3:53" x14ac:dyDescent="0.25">
      <c r="C1237" s="71"/>
      <c r="K1237" s="71"/>
      <c r="L1237" s="71"/>
      <c r="M1237" s="67"/>
      <c r="W1237" s="76"/>
      <c r="X1237" s="57"/>
      <c r="Y1237" s="57"/>
      <c r="Z1237" s="57"/>
      <c r="AA1237" s="57"/>
      <c r="AB1237" s="57"/>
      <c r="AC1237" s="57"/>
      <c r="AD1237" s="57"/>
      <c r="AE1237" s="57"/>
      <c r="AF1237" s="57"/>
      <c r="AG1237" s="57"/>
      <c r="AH1237" s="57"/>
      <c r="AI1237" s="57"/>
      <c r="AJ1237" s="57"/>
      <c r="AK1237" s="57"/>
      <c r="AL1237" s="57"/>
      <c r="AM1237" s="57"/>
      <c r="AN1237" s="57"/>
      <c r="AO1237" s="57"/>
      <c r="AP1237" s="57"/>
      <c r="AQ1237" s="57"/>
      <c r="AR1237" s="57"/>
      <c r="AS1237" s="57"/>
      <c r="AT1237" s="57"/>
      <c r="AU1237" s="57"/>
      <c r="AV1237" s="57"/>
      <c r="AW1237" s="57"/>
      <c r="AX1237" s="57"/>
      <c r="AY1237" s="57"/>
      <c r="AZ1237" s="57"/>
      <c r="BA1237" s="57"/>
    </row>
    <row r="1238" spans="3:53" x14ac:dyDescent="0.25">
      <c r="C1238" s="71"/>
      <c r="K1238" s="71"/>
      <c r="L1238" s="71"/>
      <c r="M1238" s="67"/>
      <c r="W1238" s="76"/>
      <c r="X1238" s="57"/>
      <c r="Y1238" s="57"/>
      <c r="Z1238" s="57"/>
      <c r="AA1238" s="57"/>
      <c r="AB1238" s="57"/>
      <c r="AC1238" s="57"/>
      <c r="AD1238" s="57"/>
      <c r="AE1238" s="57"/>
      <c r="AF1238" s="57"/>
      <c r="AG1238" s="57"/>
      <c r="AH1238" s="57"/>
      <c r="AI1238" s="57"/>
      <c r="AJ1238" s="57"/>
      <c r="AK1238" s="57"/>
      <c r="AL1238" s="57"/>
      <c r="AM1238" s="57"/>
      <c r="AN1238" s="57"/>
      <c r="AO1238" s="57"/>
      <c r="AP1238" s="57"/>
      <c r="AQ1238" s="57"/>
      <c r="AR1238" s="57"/>
      <c r="AS1238" s="57"/>
      <c r="AT1238" s="57"/>
      <c r="AU1238" s="57"/>
      <c r="AV1238" s="57"/>
      <c r="AW1238" s="57"/>
      <c r="AX1238" s="57"/>
      <c r="AY1238" s="57"/>
      <c r="AZ1238" s="57"/>
      <c r="BA1238" s="57"/>
    </row>
    <row r="1239" spans="3:53" x14ac:dyDescent="0.25">
      <c r="C1239" s="71"/>
      <c r="K1239" s="71"/>
      <c r="L1239" s="71"/>
      <c r="M1239" s="67"/>
      <c r="W1239" s="76"/>
      <c r="X1239" s="57"/>
      <c r="Y1239" s="57"/>
      <c r="Z1239" s="57"/>
      <c r="AA1239" s="57"/>
      <c r="AB1239" s="57"/>
      <c r="AC1239" s="57"/>
      <c r="AD1239" s="57"/>
      <c r="AE1239" s="57"/>
      <c r="AF1239" s="57"/>
      <c r="AG1239" s="57"/>
      <c r="AH1239" s="57"/>
      <c r="AI1239" s="57"/>
      <c r="AJ1239" s="57"/>
      <c r="AK1239" s="57"/>
      <c r="AL1239" s="57"/>
      <c r="AM1239" s="57"/>
      <c r="AN1239" s="57"/>
      <c r="AO1239" s="57"/>
      <c r="AP1239" s="57"/>
      <c r="AQ1239" s="57"/>
      <c r="AR1239" s="57"/>
      <c r="AS1239" s="57"/>
      <c r="AT1239" s="57"/>
      <c r="AU1239" s="57"/>
      <c r="AV1239" s="57"/>
      <c r="AW1239" s="57"/>
      <c r="AX1239" s="57"/>
      <c r="AY1239" s="57"/>
      <c r="AZ1239" s="57"/>
      <c r="BA1239" s="57"/>
    </row>
    <row r="1240" spans="3:53" x14ac:dyDescent="0.25">
      <c r="C1240" s="71"/>
      <c r="K1240" s="71"/>
      <c r="L1240" s="71"/>
      <c r="M1240" s="67"/>
      <c r="W1240" s="76"/>
      <c r="X1240" s="57"/>
      <c r="Y1240" s="57"/>
      <c r="Z1240" s="57"/>
      <c r="AA1240" s="57"/>
      <c r="AB1240" s="57"/>
      <c r="AC1240" s="57"/>
      <c r="AD1240" s="57"/>
      <c r="AE1240" s="57"/>
      <c r="AF1240" s="57"/>
      <c r="AG1240" s="57"/>
      <c r="AH1240" s="57"/>
      <c r="AI1240" s="57"/>
      <c r="AJ1240" s="57"/>
      <c r="AK1240" s="57"/>
      <c r="AL1240" s="57"/>
      <c r="AM1240" s="57"/>
      <c r="AN1240" s="57"/>
      <c r="AO1240" s="57"/>
      <c r="AP1240" s="57"/>
      <c r="AQ1240" s="57"/>
      <c r="AR1240" s="57"/>
      <c r="AS1240" s="57"/>
      <c r="AT1240" s="57"/>
      <c r="AU1240" s="57"/>
      <c r="AV1240" s="57"/>
      <c r="AW1240" s="57"/>
      <c r="AX1240" s="57"/>
      <c r="AY1240" s="57"/>
      <c r="AZ1240" s="57"/>
      <c r="BA1240" s="57"/>
    </row>
    <row r="1241" spans="3:53" x14ac:dyDescent="0.25">
      <c r="C1241" s="71"/>
      <c r="K1241" s="71"/>
      <c r="L1241" s="71"/>
      <c r="M1241" s="67"/>
      <c r="W1241" s="76"/>
      <c r="X1241" s="57"/>
      <c r="Y1241" s="57"/>
      <c r="Z1241" s="57"/>
      <c r="AA1241" s="57"/>
      <c r="AB1241" s="57"/>
      <c r="AC1241" s="57"/>
      <c r="AD1241" s="57"/>
      <c r="AE1241" s="57"/>
      <c r="AF1241" s="57"/>
      <c r="AG1241" s="57"/>
      <c r="AH1241" s="57"/>
      <c r="AI1241" s="57"/>
      <c r="AJ1241" s="57"/>
      <c r="AK1241" s="57"/>
      <c r="AL1241" s="57"/>
      <c r="AM1241" s="57"/>
      <c r="AN1241" s="57"/>
      <c r="AO1241" s="57"/>
      <c r="AP1241" s="57"/>
      <c r="AQ1241" s="57"/>
      <c r="AR1241" s="57"/>
      <c r="AS1241" s="57"/>
      <c r="AT1241" s="57"/>
      <c r="AU1241" s="57"/>
      <c r="AV1241" s="57"/>
      <c r="AW1241" s="57"/>
      <c r="AX1241" s="57"/>
      <c r="AY1241" s="57"/>
      <c r="AZ1241" s="57"/>
      <c r="BA1241" s="57"/>
    </row>
    <row r="1242" spans="3:53" x14ac:dyDescent="0.25">
      <c r="C1242" s="71"/>
      <c r="K1242" s="71"/>
      <c r="L1242" s="71"/>
      <c r="M1242" s="67"/>
      <c r="W1242" s="76"/>
      <c r="X1242" s="57"/>
      <c r="Y1242" s="57"/>
      <c r="Z1242" s="57"/>
      <c r="AA1242" s="57"/>
      <c r="AB1242" s="57"/>
      <c r="AC1242" s="57"/>
      <c r="AD1242" s="57"/>
      <c r="AE1242" s="57"/>
      <c r="AF1242" s="57"/>
      <c r="AG1242" s="57"/>
      <c r="AH1242" s="57"/>
      <c r="AI1242" s="57"/>
      <c r="AJ1242" s="57"/>
      <c r="AK1242" s="57"/>
      <c r="AL1242" s="57"/>
      <c r="AM1242" s="57"/>
      <c r="AN1242" s="57"/>
      <c r="AO1242" s="57"/>
      <c r="AP1242" s="57"/>
      <c r="AQ1242" s="57"/>
      <c r="AR1242" s="57"/>
      <c r="AS1242" s="57"/>
      <c r="AT1242" s="57"/>
      <c r="AU1242" s="57"/>
      <c r="AV1242" s="57"/>
      <c r="AW1242" s="57"/>
      <c r="AX1242" s="57"/>
      <c r="AY1242" s="57"/>
      <c r="AZ1242" s="57"/>
      <c r="BA1242" s="57"/>
    </row>
    <row r="1243" spans="3:53" x14ac:dyDescent="0.25">
      <c r="C1243" s="71"/>
      <c r="K1243" s="71"/>
      <c r="L1243" s="71"/>
      <c r="M1243" s="67"/>
      <c r="W1243" s="76"/>
      <c r="X1243" s="57"/>
      <c r="Y1243" s="57"/>
      <c r="Z1243" s="57"/>
      <c r="AA1243" s="57"/>
      <c r="AB1243" s="57"/>
      <c r="AC1243" s="57"/>
      <c r="AD1243" s="57"/>
      <c r="AE1243" s="57"/>
      <c r="AF1243" s="57"/>
      <c r="AG1243" s="57"/>
      <c r="AH1243" s="57"/>
      <c r="AI1243" s="57"/>
      <c r="AJ1243" s="57"/>
      <c r="AK1243" s="57"/>
      <c r="AL1243" s="57"/>
      <c r="AM1243" s="57"/>
      <c r="AN1243" s="57"/>
      <c r="AO1243" s="57"/>
      <c r="AP1243" s="57"/>
      <c r="AQ1243" s="57"/>
      <c r="AR1243" s="57"/>
      <c r="AS1243" s="57"/>
      <c r="AT1243" s="57"/>
      <c r="AU1243" s="57"/>
      <c r="AV1243" s="57"/>
      <c r="AW1243" s="57"/>
      <c r="AX1243" s="57"/>
      <c r="AY1243" s="57"/>
      <c r="AZ1243" s="57"/>
      <c r="BA1243" s="57"/>
    </row>
    <row r="1244" spans="3:53" x14ac:dyDescent="0.25">
      <c r="C1244" s="71"/>
      <c r="K1244" s="71"/>
      <c r="L1244" s="71"/>
      <c r="M1244" s="67"/>
      <c r="W1244" s="76"/>
      <c r="X1244" s="57"/>
      <c r="Y1244" s="57"/>
      <c r="Z1244" s="57"/>
      <c r="AA1244" s="57"/>
      <c r="AB1244" s="57"/>
      <c r="AC1244" s="57"/>
      <c r="AD1244" s="57"/>
      <c r="AE1244" s="57"/>
      <c r="AF1244" s="57"/>
      <c r="AG1244" s="57"/>
      <c r="AH1244" s="57"/>
      <c r="AI1244" s="57"/>
      <c r="AJ1244" s="57"/>
      <c r="AK1244" s="57"/>
      <c r="AL1244" s="57"/>
      <c r="AM1244" s="57"/>
      <c r="AN1244" s="57"/>
      <c r="AO1244" s="57"/>
      <c r="AP1244" s="57"/>
      <c r="AQ1244" s="57"/>
      <c r="AR1244" s="57"/>
      <c r="AS1244" s="57"/>
      <c r="AT1244" s="57"/>
      <c r="AU1244" s="57"/>
      <c r="AV1244" s="57"/>
      <c r="AW1244" s="57"/>
      <c r="AX1244" s="57"/>
      <c r="AY1244" s="57"/>
      <c r="AZ1244" s="57"/>
      <c r="BA1244" s="57"/>
    </row>
    <row r="1245" spans="3:53" x14ac:dyDescent="0.25">
      <c r="C1245" s="71"/>
      <c r="K1245" s="71"/>
      <c r="L1245" s="71"/>
      <c r="M1245" s="67"/>
      <c r="W1245" s="76"/>
      <c r="X1245" s="57"/>
      <c r="Y1245" s="57"/>
      <c r="Z1245" s="57"/>
      <c r="AA1245" s="57"/>
      <c r="AB1245" s="57"/>
      <c r="AC1245" s="57"/>
      <c r="AD1245" s="57"/>
      <c r="AE1245" s="57"/>
      <c r="AF1245" s="57"/>
      <c r="AG1245" s="57"/>
      <c r="AH1245" s="57"/>
      <c r="AI1245" s="57"/>
      <c r="AJ1245" s="57"/>
      <c r="AK1245" s="57"/>
      <c r="AL1245" s="57"/>
      <c r="AM1245" s="57"/>
      <c r="AN1245" s="57"/>
      <c r="AO1245" s="57"/>
      <c r="AP1245" s="57"/>
      <c r="AQ1245" s="57"/>
      <c r="AR1245" s="57"/>
      <c r="AS1245" s="57"/>
      <c r="AT1245" s="57"/>
      <c r="AU1245" s="57"/>
      <c r="AV1245" s="57"/>
      <c r="AW1245" s="57"/>
      <c r="AX1245" s="57"/>
      <c r="AY1245" s="57"/>
      <c r="AZ1245" s="57"/>
      <c r="BA1245" s="57"/>
    </row>
    <row r="1246" spans="3:53" x14ac:dyDescent="0.25">
      <c r="C1246" s="71"/>
      <c r="K1246" s="71"/>
      <c r="L1246" s="71"/>
      <c r="M1246" s="67"/>
      <c r="W1246" s="76"/>
      <c r="X1246" s="57"/>
      <c r="Y1246" s="57"/>
      <c r="Z1246" s="57"/>
      <c r="AA1246" s="57"/>
      <c r="AB1246" s="57"/>
      <c r="AC1246" s="57"/>
      <c r="AD1246" s="57"/>
      <c r="AE1246" s="57"/>
      <c r="AF1246" s="57"/>
      <c r="AG1246" s="57"/>
      <c r="AH1246" s="57"/>
      <c r="AI1246" s="57"/>
      <c r="AJ1246" s="57"/>
      <c r="AK1246" s="57"/>
      <c r="AL1246" s="57"/>
      <c r="AM1246" s="57"/>
      <c r="AN1246" s="57"/>
      <c r="AO1246" s="57"/>
      <c r="AP1246" s="57"/>
      <c r="AQ1246" s="57"/>
      <c r="AR1246" s="57"/>
      <c r="AS1246" s="57"/>
      <c r="AT1246" s="57"/>
      <c r="AU1246" s="57"/>
      <c r="AV1246" s="57"/>
      <c r="AW1246" s="57"/>
      <c r="AX1246" s="57"/>
      <c r="AY1246" s="57"/>
      <c r="AZ1246" s="57"/>
      <c r="BA1246" s="57"/>
    </row>
    <row r="1247" spans="3:53" x14ac:dyDescent="0.25">
      <c r="C1247" s="71"/>
      <c r="K1247" s="71"/>
      <c r="L1247" s="71"/>
      <c r="M1247" s="67"/>
      <c r="W1247" s="76"/>
      <c r="X1247" s="57"/>
      <c r="Y1247" s="57"/>
      <c r="Z1247" s="57"/>
      <c r="AA1247" s="57"/>
      <c r="AB1247" s="57"/>
      <c r="AC1247" s="57"/>
      <c r="AD1247" s="57"/>
      <c r="AE1247" s="57"/>
      <c r="AF1247" s="57"/>
      <c r="AG1247" s="57"/>
      <c r="AH1247" s="57"/>
      <c r="AI1247" s="57"/>
      <c r="AJ1247" s="57"/>
      <c r="AK1247" s="57"/>
      <c r="AL1247" s="57"/>
      <c r="AM1247" s="57"/>
      <c r="AN1247" s="57"/>
      <c r="AO1247" s="57"/>
      <c r="AP1247" s="57"/>
      <c r="AQ1247" s="57"/>
      <c r="AR1247" s="57"/>
      <c r="AS1247" s="57"/>
      <c r="AT1247" s="57"/>
      <c r="AU1247" s="57"/>
      <c r="AV1247" s="57"/>
      <c r="AW1247" s="57"/>
      <c r="AX1247" s="57"/>
      <c r="AY1247" s="57"/>
      <c r="AZ1247" s="57"/>
      <c r="BA1247" s="57"/>
    </row>
    <row r="1248" spans="3:53" x14ac:dyDescent="0.25">
      <c r="C1248" s="71"/>
      <c r="K1248" s="71"/>
      <c r="L1248" s="71"/>
      <c r="M1248" s="67"/>
      <c r="W1248" s="76"/>
      <c r="X1248" s="57"/>
      <c r="Y1248" s="57"/>
      <c r="Z1248" s="57"/>
      <c r="AA1248" s="57"/>
      <c r="AB1248" s="57"/>
      <c r="AC1248" s="57"/>
      <c r="AD1248" s="57"/>
      <c r="AE1248" s="57"/>
      <c r="AF1248" s="57"/>
      <c r="AG1248" s="57"/>
      <c r="AH1248" s="57"/>
      <c r="AI1248" s="57"/>
      <c r="AJ1248" s="57"/>
      <c r="AK1248" s="57"/>
      <c r="AL1248" s="57"/>
      <c r="AM1248" s="57"/>
      <c r="AN1248" s="57"/>
      <c r="AO1248" s="57"/>
      <c r="AP1248" s="57"/>
      <c r="AQ1248" s="57"/>
      <c r="AR1248" s="57"/>
      <c r="AS1248" s="57"/>
      <c r="AT1248" s="57"/>
      <c r="AU1248" s="57"/>
      <c r="AV1248" s="57"/>
      <c r="AW1248" s="57"/>
      <c r="AX1248" s="57"/>
      <c r="AY1248" s="57"/>
      <c r="AZ1248" s="57"/>
      <c r="BA1248" s="57"/>
    </row>
    <row r="1249" spans="3:53" x14ac:dyDescent="0.25">
      <c r="C1249" s="71"/>
      <c r="K1249" s="71"/>
      <c r="L1249" s="71"/>
      <c r="M1249" s="67"/>
      <c r="W1249" s="76"/>
      <c r="X1249" s="57"/>
      <c r="Y1249" s="57"/>
      <c r="Z1249" s="57"/>
      <c r="AA1249" s="57"/>
      <c r="AB1249" s="57"/>
      <c r="AC1249" s="57"/>
      <c r="AD1249" s="57"/>
      <c r="AE1249" s="57"/>
      <c r="AF1249" s="57"/>
      <c r="AG1249" s="57"/>
      <c r="AH1249" s="57"/>
      <c r="AI1249" s="57"/>
      <c r="AJ1249" s="57"/>
      <c r="AK1249" s="57"/>
      <c r="AL1249" s="57"/>
      <c r="AM1249" s="57"/>
      <c r="AN1249" s="57"/>
      <c r="AO1249" s="57"/>
      <c r="AP1249" s="57"/>
      <c r="AQ1249" s="57"/>
      <c r="AR1249" s="57"/>
      <c r="AS1249" s="57"/>
      <c r="AT1249" s="57"/>
      <c r="AU1249" s="57"/>
      <c r="AV1249" s="57"/>
      <c r="AW1249" s="57"/>
      <c r="AX1249" s="57"/>
      <c r="AY1249" s="57"/>
      <c r="AZ1249" s="57"/>
      <c r="BA1249" s="57"/>
    </row>
    <row r="1250" spans="3:53" x14ac:dyDescent="0.25">
      <c r="C1250" s="71"/>
      <c r="K1250" s="71"/>
      <c r="L1250" s="71"/>
      <c r="M1250" s="67"/>
      <c r="W1250" s="76"/>
      <c r="X1250" s="57"/>
      <c r="Y1250" s="57"/>
      <c r="Z1250" s="57"/>
      <c r="AA1250" s="57"/>
      <c r="AB1250" s="57"/>
      <c r="AC1250" s="57"/>
      <c r="AD1250" s="57"/>
      <c r="AE1250" s="57"/>
      <c r="AF1250" s="57"/>
      <c r="AG1250" s="57"/>
      <c r="AH1250" s="57"/>
      <c r="AI1250" s="57"/>
      <c r="AJ1250" s="57"/>
      <c r="AK1250" s="57"/>
      <c r="AL1250" s="57"/>
      <c r="AM1250" s="57"/>
      <c r="AN1250" s="57"/>
      <c r="AO1250" s="57"/>
      <c r="AP1250" s="57"/>
      <c r="AQ1250" s="57"/>
      <c r="AR1250" s="57"/>
      <c r="AS1250" s="57"/>
      <c r="AT1250" s="57"/>
      <c r="AU1250" s="57"/>
      <c r="AV1250" s="57"/>
      <c r="AW1250" s="57"/>
      <c r="AX1250" s="57"/>
      <c r="AY1250" s="57"/>
      <c r="AZ1250" s="57"/>
      <c r="BA1250" s="57"/>
    </row>
    <row r="1251" spans="3:53" x14ac:dyDescent="0.25">
      <c r="C1251" s="71"/>
      <c r="K1251" s="71"/>
      <c r="L1251" s="71"/>
      <c r="M1251" s="67"/>
      <c r="W1251" s="76"/>
      <c r="X1251" s="57"/>
      <c r="Y1251" s="57"/>
      <c r="Z1251" s="57"/>
      <c r="AA1251" s="57"/>
      <c r="AB1251" s="57"/>
      <c r="AC1251" s="57"/>
      <c r="AD1251" s="57"/>
      <c r="AE1251" s="57"/>
      <c r="AF1251" s="57"/>
      <c r="AG1251" s="57"/>
      <c r="AH1251" s="57"/>
      <c r="AI1251" s="57"/>
      <c r="AJ1251" s="57"/>
      <c r="AK1251" s="57"/>
      <c r="AL1251" s="57"/>
      <c r="AM1251" s="57"/>
      <c r="AN1251" s="57"/>
      <c r="AO1251" s="57"/>
      <c r="AP1251" s="57"/>
      <c r="AQ1251" s="57"/>
      <c r="AR1251" s="57"/>
      <c r="AS1251" s="57"/>
      <c r="AT1251" s="57"/>
      <c r="AU1251" s="57"/>
      <c r="AV1251" s="57"/>
      <c r="AW1251" s="57"/>
      <c r="AX1251" s="57"/>
      <c r="AY1251" s="57"/>
      <c r="AZ1251" s="57"/>
      <c r="BA1251" s="57"/>
    </row>
    <row r="1252" spans="3:53" x14ac:dyDescent="0.25">
      <c r="C1252" s="71"/>
      <c r="K1252" s="71"/>
      <c r="L1252" s="71"/>
      <c r="M1252" s="67"/>
      <c r="W1252" s="76"/>
      <c r="X1252" s="57"/>
      <c r="Y1252" s="57"/>
      <c r="Z1252" s="57"/>
      <c r="AA1252" s="57"/>
      <c r="AB1252" s="57"/>
      <c r="AC1252" s="57"/>
      <c r="AD1252" s="57"/>
      <c r="AE1252" s="57"/>
      <c r="AF1252" s="57"/>
      <c r="AG1252" s="57"/>
      <c r="AH1252" s="57"/>
      <c r="AI1252" s="57"/>
      <c r="AJ1252" s="57"/>
      <c r="AK1252" s="57"/>
      <c r="AL1252" s="57"/>
      <c r="AM1252" s="57"/>
      <c r="AN1252" s="57"/>
      <c r="AO1252" s="57"/>
      <c r="AP1252" s="57"/>
      <c r="AQ1252" s="57"/>
      <c r="AR1252" s="57"/>
      <c r="AS1252" s="57"/>
      <c r="AT1252" s="57"/>
      <c r="AU1252" s="57"/>
      <c r="AV1252" s="57"/>
      <c r="AW1252" s="57"/>
      <c r="AX1252" s="57"/>
      <c r="AY1252" s="57"/>
      <c r="AZ1252" s="57"/>
      <c r="BA1252" s="57"/>
    </row>
    <row r="1253" spans="3:53" x14ac:dyDescent="0.25">
      <c r="C1253" s="71"/>
      <c r="K1253" s="71"/>
      <c r="L1253" s="71"/>
      <c r="M1253" s="67"/>
      <c r="W1253" s="76"/>
      <c r="X1253" s="57"/>
      <c r="Y1253" s="57"/>
      <c r="Z1253" s="57"/>
      <c r="AA1253" s="57"/>
      <c r="AB1253" s="57"/>
      <c r="AC1253" s="57"/>
      <c r="AD1253" s="57"/>
      <c r="AE1253" s="57"/>
      <c r="AF1253" s="57"/>
      <c r="AG1253" s="57"/>
      <c r="AH1253" s="57"/>
      <c r="AI1253" s="57"/>
      <c r="AJ1253" s="57"/>
      <c r="AK1253" s="57"/>
      <c r="AL1253" s="57"/>
      <c r="AM1253" s="57"/>
      <c r="AN1253" s="57"/>
      <c r="AO1253" s="57"/>
      <c r="AP1253" s="57"/>
      <c r="AQ1253" s="57"/>
      <c r="AR1253" s="57"/>
      <c r="AS1253" s="57"/>
      <c r="AT1253" s="57"/>
      <c r="AU1253" s="57"/>
      <c r="AV1253" s="57"/>
      <c r="AW1253" s="57"/>
      <c r="AX1253" s="57"/>
      <c r="AY1253" s="57"/>
      <c r="AZ1253" s="57"/>
      <c r="BA1253" s="57"/>
    </row>
    <row r="1254" spans="3:53" x14ac:dyDescent="0.25">
      <c r="C1254" s="71"/>
      <c r="K1254" s="71"/>
      <c r="L1254" s="71"/>
      <c r="M1254" s="67"/>
      <c r="W1254" s="76"/>
      <c r="X1254" s="57"/>
      <c r="Y1254" s="57"/>
      <c r="Z1254" s="57"/>
      <c r="AA1254" s="57"/>
      <c r="AB1254" s="57"/>
      <c r="AC1254" s="57"/>
      <c r="AD1254" s="57"/>
      <c r="AE1254" s="57"/>
      <c r="AF1254" s="57"/>
      <c r="AG1254" s="57"/>
      <c r="AH1254" s="57"/>
      <c r="AI1254" s="57"/>
      <c r="AJ1254" s="57"/>
      <c r="AK1254" s="57"/>
      <c r="AL1254" s="57"/>
      <c r="AM1254" s="57"/>
      <c r="AN1254" s="57"/>
      <c r="AO1254" s="57"/>
      <c r="AP1254" s="57"/>
      <c r="AQ1254" s="57"/>
      <c r="AR1254" s="57"/>
      <c r="AS1254" s="57"/>
      <c r="AT1254" s="57"/>
      <c r="AU1254" s="57"/>
      <c r="AV1254" s="57"/>
      <c r="AW1254" s="57"/>
      <c r="AX1254" s="57"/>
      <c r="AY1254" s="57"/>
      <c r="AZ1254" s="57"/>
      <c r="BA1254" s="57"/>
    </row>
    <row r="1255" spans="3:53" x14ac:dyDescent="0.25">
      <c r="C1255" s="71"/>
      <c r="K1255" s="71"/>
      <c r="L1255" s="71"/>
      <c r="M1255" s="67"/>
      <c r="W1255" s="76"/>
      <c r="X1255" s="57"/>
      <c r="Y1255" s="57"/>
      <c r="Z1255" s="57"/>
      <c r="AA1255" s="57"/>
      <c r="AB1255" s="57"/>
      <c r="AC1255" s="57"/>
      <c r="AD1255" s="57"/>
      <c r="AE1255" s="57"/>
      <c r="AF1255" s="57"/>
      <c r="AG1255" s="57"/>
      <c r="AH1255" s="57"/>
      <c r="AI1255" s="57"/>
      <c r="AJ1255" s="57"/>
      <c r="AK1255" s="57"/>
      <c r="AL1255" s="57"/>
      <c r="AM1255" s="57"/>
      <c r="AN1255" s="57"/>
      <c r="AO1255" s="57"/>
      <c r="AP1255" s="57"/>
      <c r="AQ1255" s="57"/>
      <c r="AR1255" s="57"/>
      <c r="AS1255" s="57"/>
      <c r="AT1255" s="57"/>
      <c r="AU1255" s="57"/>
      <c r="AV1255" s="57"/>
      <c r="AW1255" s="57"/>
      <c r="AX1255" s="57"/>
      <c r="AY1255" s="57"/>
      <c r="AZ1255" s="57"/>
      <c r="BA1255" s="57"/>
    </row>
    <row r="1256" spans="3:53" x14ac:dyDescent="0.25">
      <c r="C1256" s="71"/>
      <c r="K1256" s="71"/>
      <c r="L1256" s="71"/>
      <c r="M1256" s="67"/>
      <c r="W1256" s="76"/>
      <c r="X1256" s="57"/>
      <c r="Y1256" s="57"/>
      <c r="Z1256" s="57"/>
      <c r="AA1256" s="57"/>
      <c r="AB1256" s="57"/>
      <c r="AC1256" s="57"/>
      <c r="AD1256" s="57"/>
      <c r="AE1256" s="57"/>
      <c r="AF1256" s="57"/>
      <c r="AG1256" s="57"/>
      <c r="AH1256" s="57"/>
      <c r="AI1256" s="57"/>
      <c r="AJ1256" s="57"/>
      <c r="AK1256" s="57"/>
      <c r="AL1256" s="57"/>
      <c r="AM1256" s="57"/>
      <c r="AN1256" s="57"/>
      <c r="AO1256" s="57"/>
      <c r="AP1256" s="57"/>
      <c r="AQ1256" s="57"/>
      <c r="AR1256" s="57"/>
      <c r="AS1256" s="57"/>
      <c r="AT1256" s="57"/>
      <c r="AU1256" s="57"/>
      <c r="AV1256" s="57"/>
      <c r="AW1256" s="57"/>
      <c r="AX1256" s="57"/>
      <c r="AY1256" s="57"/>
      <c r="AZ1256" s="57"/>
      <c r="BA1256" s="57"/>
    </row>
    <row r="1257" spans="3:53" x14ac:dyDescent="0.25">
      <c r="C1257" s="71"/>
      <c r="K1257" s="71"/>
      <c r="L1257" s="71"/>
      <c r="M1257" s="67"/>
      <c r="W1257" s="76"/>
      <c r="X1257" s="57"/>
      <c r="Y1257" s="57"/>
      <c r="Z1257" s="57"/>
      <c r="AA1257" s="57"/>
      <c r="AB1257" s="57"/>
      <c r="AC1257" s="57"/>
      <c r="AD1257" s="57"/>
      <c r="AE1257" s="57"/>
      <c r="AF1257" s="57"/>
      <c r="AG1257" s="57"/>
      <c r="AH1257" s="57"/>
      <c r="AI1257" s="57"/>
      <c r="AJ1257" s="57"/>
      <c r="AK1257" s="57"/>
      <c r="AL1257" s="57"/>
      <c r="AM1257" s="57"/>
      <c r="AN1257" s="57"/>
      <c r="AO1257" s="57"/>
      <c r="AP1257" s="57"/>
      <c r="AQ1257" s="57"/>
      <c r="AR1257" s="57"/>
      <c r="AS1257" s="57"/>
      <c r="AT1257" s="57"/>
      <c r="AU1257" s="57"/>
      <c r="AV1257" s="57"/>
      <c r="AW1257" s="57"/>
      <c r="AX1257" s="57"/>
      <c r="AY1257" s="57"/>
      <c r="AZ1257" s="57"/>
      <c r="BA1257" s="57"/>
    </row>
    <row r="1258" spans="3:53" x14ac:dyDescent="0.25">
      <c r="C1258" s="71"/>
      <c r="K1258" s="71"/>
      <c r="L1258" s="71"/>
      <c r="M1258" s="67"/>
      <c r="W1258" s="76"/>
      <c r="X1258" s="57"/>
      <c r="Y1258" s="57"/>
      <c r="Z1258" s="57"/>
      <c r="AA1258" s="57"/>
      <c r="AB1258" s="57"/>
      <c r="AC1258" s="57"/>
      <c r="AD1258" s="57"/>
      <c r="AE1258" s="57"/>
      <c r="AF1258" s="57"/>
      <c r="AG1258" s="57"/>
      <c r="AH1258" s="57"/>
      <c r="AI1258" s="57"/>
      <c r="AJ1258" s="57"/>
      <c r="AK1258" s="57"/>
      <c r="AL1258" s="57"/>
      <c r="AM1258" s="57"/>
      <c r="AN1258" s="57"/>
      <c r="AO1258" s="57"/>
      <c r="AP1258" s="57"/>
      <c r="AQ1258" s="57"/>
      <c r="AR1258" s="57"/>
      <c r="AS1258" s="57"/>
      <c r="AT1258" s="57"/>
      <c r="AU1258" s="57"/>
      <c r="AV1258" s="57"/>
      <c r="AW1258" s="57"/>
      <c r="AX1258" s="57"/>
      <c r="AY1258" s="57"/>
      <c r="AZ1258" s="57"/>
      <c r="BA1258" s="57"/>
    </row>
    <row r="1259" spans="3:53" x14ac:dyDescent="0.25">
      <c r="C1259" s="71"/>
      <c r="K1259" s="71"/>
      <c r="L1259" s="71"/>
      <c r="M1259" s="67"/>
      <c r="W1259" s="76"/>
      <c r="X1259" s="57"/>
      <c r="Y1259" s="57"/>
      <c r="Z1259" s="57"/>
      <c r="AA1259" s="57"/>
      <c r="AB1259" s="57"/>
      <c r="AC1259" s="57"/>
      <c r="AD1259" s="57"/>
      <c r="AE1259" s="57"/>
      <c r="AF1259" s="57"/>
      <c r="AG1259" s="57"/>
      <c r="AH1259" s="57"/>
      <c r="AI1259" s="57"/>
      <c r="AJ1259" s="57"/>
      <c r="AK1259" s="57"/>
      <c r="AL1259" s="57"/>
      <c r="AM1259" s="57"/>
      <c r="AN1259" s="57"/>
      <c r="AO1259" s="57"/>
      <c r="AP1259" s="57"/>
      <c r="AQ1259" s="57"/>
      <c r="AR1259" s="57"/>
      <c r="AS1259" s="57"/>
      <c r="AT1259" s="57"/>
      <c r="AU1259" s="57"/>
      <c r="AV1259" s="57"/>
      <c r="AW1259" s="57"/>
      <c r="AX1259" s="57"/>
      <c r="AY1259" s="57"/>
      <c r="AZ1259" s="57"/>
      <c r="BA1259" s="57"/>
    </row>
    <row r="1260" spans="3:53" x14ac:dyDescent="0.25">
      <c r="C1260" s="71"/>
      <c r="K1260" s="71"/>
      <c r="L1260" s="71"/>
      <c r="M1260" s="67"/>
      <c r="W1260" s="76"/>
      <c r="X1260" s="57"/>
      <c r="Y1260" s="57"/>
      <c r="Z1260" s="57"/>
      <c r="AA1260" s="57"/>
      <c r="AB1260" s="57"/>
      <c r="AC1260" s="57"/>
      <c r="AD1260" s="57"/>
      <c r="AE1260" s="57"/>
      <c r="AF1260" s="57"/>
      <c r="AG1260" s="57"/>
      <c r="AH1260" s="57"/>
      <c r="AI1260" s="57"/>
      <c r="AJ1260" s="57"/>
      <c r="AK1260" s="57"/>
      <c r="AL1260" s="57"/>
      <c r="AM1260" s="57"/>
      <c r="AN1260" s="57"/>
      <c r="AO1260" s="57"/>
      <c r="AP1260" s="57"/>
      <c r="AQ1260" s="57"/>
      <c r="AR1260" s="57"/>
      <c r="AS1260" s="57"/>
      <c r="AT1260" s="57"/>
      <c r="AU1260" s="57"/>
      <c r="AV1260" s="57"/>
      <c r="AW1260" s="57"/>
      <c r="AX1260" s="57"/>
      <c r="AY1260" s="57"/>
      <c r="AZ1260" s="57"/>
      <c r="BA1260" s="57"/>
    </row>
    <row r="1261" spans="3:53" x14ac:dyDescent="0.25">
      <c r="C1261" s="71"/>
      <c r="K1261" s="71"/>
      <c r="L1261" s="71"/>
      <c r="M1261" s="67"/>
      <c r="W1261" s="76"/>
      <c r="X1261" s="57"/>
      <c r="Y1261" s="57"/>
      <c r="Z1261" s="57"/>
      <c r="AA1261" s="57"/>
      <c r="AB1261" s="57"/>
      <c r="AC1261" s="57"/>
      <c r="AD1261" s="57"/>
      <c r="AE1261" s="57"/>
      <c r="AF1261" s="57"/>
      <c r="AG1261" s="57"/>
      <c r="AH1261" s="57"/>
      <c r="AI1261" s="57"/>
      <c r="AJ1261" s="57"/>
      <c r="AK1261" s="57"/>
      <c r="AL1261" s="57"/>
      <c r="AM1261" s="57"/>
      <c r="AN1261" s="57"/>
      <c r="AO1261" s="57"/>
      <c r="AP1261" s="57"/>
      <c r="AQ1261" s="57"/>
      <c r="AR1261" s="57"/>
      <c r="AS1261" s="57"/>
      <c r="AT1261" s="57"/>
      <c r="AU1261" s="57"/>
      <c r="AV1261" s="57"/>
      <c r="AW1261" s="57"/>
      <c r="AX1261" s="57"/>
      <c r="AY1261" s="57"/>
      <c r="AZ1261" s="57"/>
      <c r="BA1261" s="57"/>
    </row>
    <row r="1262" spans="3:53" x14ac:dyDescent="0.25">
      <c r="C1262" s="71"/>
      <c r="K1262" s="71"/>
      <c r="L1262" s="71"/>
      <c r="M1262" s="67"/>
      <c r="W1262" s="76"/>
      <c r="X1262" s="57"/>
      <c r="Y1262" s="57"/>
      <c r="Z1262" s="57"/>
      <c r="AA1262" s="57"/>
      <c r="AB1262" s="57"/>
      <c r="AC1262" s="57"/>
      <c r="AD1262" s="57"/>
      <c r="AE1262" s="57"/>
      <c r="AF1262" s="57"/>
      <c r="AG1262" s="57"/>
      <c r="AH1262" s="57"/>
      <c r="AI1262" s="57"/>
      <c r="AJ1262" s="57"/>
      <c r="AK1262" s="57"/>
      <c r="AL1262" s="57"/>
      <c r="AM1262" s="57"/>
      <c r="AN1262" s="57"/>
      <c r="AO1262" s="57"/>
      <c r="AP1262" s="57"/>
      <c r="AQ1262" s="57"/>
      <c r="AR1262" s="57"/>
      <c r="AS1262" s="57"/>
      <c r="AT1262" s="57"/>
      <c r="AU1262" s="57"/>
      <c r="AV1262" s="57"/>
      <c r="AW1262" s="57"/>
      <c r="AX1262" s="57"/>
      <c r="AY1262" s="57"/>
      <c r="AZ1262" s="57"/>
      <c r="BA1262" s="57"/>
    </row>
    <row r="1263" spans="3:53" x14ac:dyDescent="0.25">
      <c r="C1263" s="71"/>
      <c r="K1263" s="71"/>
      <c r="L1263" s="71"/>
      <c r="M1263" s="67"/>
      <c r="W1263" s="76"/>
      <c r="X1263" s="57"/>
      <c r="Y1263" s="57"/>
      <c r="Z1263" s="57"/>
      <c r="AA1263" s="57"/>
      <c r="AB1263" s="57"/>
      <c r="AC1263" s="57"/>
      <c r="AD1263" s="57"/>
      <c r="AE1263" s="57"/>
      <c r="AF1263" s="57"/>
      <c r="AG1263" s="57"/>
      <c r="AH1263" s="57"/>
      <c r="AI1263" s="57"/>
      <c r="AJ1263" s="57"/>
      <c r="AK1263" s="57"/>
      <c r="AL1263" s="57"/>
      <c r="AM1263" s="57"/>
      <c r="AN1263" s="57"/>
      <c r="AO1263" s="57"/>
      <c r="AP1263" s="57"/>
      <c r="AQ1263" s="57"/>
      <c r="AR1263" s="57"/>
      <c r="AS1263" s="57"/>
      <c r="AT1263" s="57"/>
      <c r="AU1263" s="57"/>
      <c r="AV1263" s="57"/>
      <c r="AW1263" s="57"/>
      <c r="AX1263" s="57"/>
      <c r="AY1263" s="57"/>
      <c r="AZ1263" s="57"/>
      <c r="BA1263" s="57"/>
    </row>
    <row r="1264" spans="3:53" x14ac:dyDescent="0.25">
      <c r="C1264" s="71"/>
      <c r="K1264" s="71"/>
      <c r="L1264" s="71"/>
      <c r="M1264" s="67"/>
      <c r="W1264" s="76"/>
      <c r="X1264" s="57"/>
      <c r="Y1264" s="57"/>
      <c r="Z1264" s="57"/>
      <c r="AA1264" s="57"/>
      <c r="AB1264" s="57"/>
      <c r="AC1264" s="57"/>
      <c r="AD1264" s="57"/>
      <c r="AE1264" s="57"/>
      <c r="AF1264" s="57"/>
      <c r="AG1264" s="57"/>
      <c r="AH1264" s="57"/>
      <c r="AI1264" s="57"/>
      <c r="AJ1264" s="57"/>
      <c r="AK1264" s="57"/>
      <c r="AL1264" s="57"/>
      <c r="AM1264" s="57"/>
      <c r="AN1264" s="57"/>
      <c r="AO1264" s="57"/>
      <c r="AP1264" s="57"/>
      <c r="AQ1264" s="57"/>
      <c r="AR1264" s="57"/>
      <c r="AS1264" s="57"/>
      <c r="AT1264" s="57"/>
      <c r="AU1264" s="57"/>
      <c r="AV1264" s="57"/>
      <c r="AW1264" s="57"/>
      <c r="AX1264" s="57"/>
      <c r="AY1264" s="57"/>
      <c r="AZ1264" s="57"/>
      <c r="BA1264" s="57"/>
    </row>
    <row r="1265" spans="3:53" x14ac:dyDescent="0.25">
      <c r="C1265" s="71"/>
      <c r="K1265" s="71"/>
      <c r="L1265" s="71"/>
      <c r="M1265" s="67"/>
      <c r="W1265" s="76"/>
      <c r="X1265" s="57"/>
      <c r="Y1265" s="57"/>
      <c r="Z1265" s="57"/>
      <c r="AA1265" s="57"/>
      <c r="AB1265" s="57"/>
      <c r="AC1265" s="57"/>
      <c r="AD1265" s="57"/>
      <c r="AE1265" s="57"/>
      <c r="AF1265" s="57"/>
      <c r="AG1265" s="57"/>
      <c r="AH1265" s="57"/>
      <c r="AI1265" s="57"/>
      <c r="AJ1265" s="57"/>
      <c r="AK1265" s="57"/>
      <c r="AL1265" s="57"/>
      <c r="AM1265" s="57"/>
      <c r="AN1265" s="57"/>
      <c r="AO1265" s="57"/>
      <c r="AP1265" s="57"/>
      <c r="AQ1265" s="57"/>
      <c r="AR1265" s="57"/>
      <c r="AS1265" s="57"/>
      <c r="AT1265" s="57"/>
      <c r="AU1265" s="57"/>
      <c r="AV1265" s="57"/>
      <c r="AW1265" s="57"/>
      <c r="AX1265" s="57"/>
      <c r="AY1265" s="57"/>
      <c r="AZ1265" s="57"/>
      <c r="BA1265" s="57"/>
    </row>
    <row r="1266" spans="3:53" x14ac:dyDescent="0.25">
      <c r="C1266" s="71"/>
      <c r="K1266" s="71"/>
      <c r="L1266" s="71"/>
      <c r="M1266" s="67"/>
      <c r="W1266" s="76"/>
      <c r="X1266" s="57"/>
      <c r="Y1266" s="57"/>
      <c r="Z1266" s="57"/>
      <c r="AA1266" s="57"/>
      <c r="AB1266" s="57"/>
      <c r="AC1266" s="57"/>
      <c r="AD1266" s="57"/>
      <c r="AE1266" s="57"/>
      <c r="AF1266" s="57"/>
      <c r="AG1266" s="57"/>
      <c r="AH1266" s="57"/>
      <c r="AI1266" s="57"/>
      <c r="AJ1266" s="57"/>
      <c r="AK1266" s="57"/>
      <c r="AL1266" s="57"/>
      <c r="AM1266" s="57"/>
      <c r="AN1266" s="57"/>
      <c r="AO1266" s="57"/>
      <c r="AP1266" s="57"/>
      <c r="AQ1266" s="57"/>
      <c r="AR1266" s="57"/>
      <c r="AS1266" s="57"/>
      <c r="AT1266" s="57"/>
      <c r="AU1266" s="57"/>
      <c r="AV1266" s="57"/>
      <c r="AW1266" s="57"/>
      <c r="AX1266" s="57"/>
      <c r="AY1266" s="57"/>
      <c r="AZ1266" s="57"/>
      <c r="BA1266" s="57"/>
    </row>
    <row r="1267" spans="3:53" x14ac:dyDescent="0.25">
      <c r="C1267" s="71"/>
      <c r="K1267" s="71"/>
      <c r="L1267" s="71"/>
      <c r="M1267" s="67"/>
      <c r="W1267" s="76"/>
      <c r="X1267" s="57"/>
      <c r="Y1267" s="57"/>
      <c r="Z1267" s="57"/>
      <c r="AA1267" s="57"/>
      <c r="AB1267" s="57"/>
      <c r="AC1267" s="57"/>
      <c r="AD1267" s="57"/>
      <c r="AE1267" s="57"/>
      <c r="AF1267" s="57"/>
      <c r="AG1267" s="57"/>
      <c r="AH1267" s="57"/>
      <c r="AI1267" s="57"/>
      <c r="AJ1267" s="57"/>
      <c r="AK1267" s="57"/>
      <c r="AL1267" s="57"/>
      <c r="AM1267" s="57"/>
      <c r="AN1267" s="57"/>
      <c r="AO1267" s="57"/>
      <c r="AP1267" s="57"/>
      <c r="AQ1267" s="57"/>
      <c r="AR1267" s="57"/>
      <c r="AS1267" s="57"/>
      <c r="AT1267" s="57"/>
      <c r="AU1267" s="57"/>
      <c r="AV1267" s="57"/>
      <c r="AW1267" s="57"/>
      <c r="AX1267" s="57"/>
      <c r="AY1267" s="57"/>
      <c r="AZ1267" s="57"/>
      <c r="BA1267" s="57"/>
    </row>
    <row r="1268" spans="3:53" x14ac:dyDescent="0.25">
      <c r="C1268" s="71"/>
      <c r="K1268" s="71"/>
      <c r="L1268" s="71"/>
      <c r="M1268" s="67"/>
      <c r="W1268" s="76"/>
      <c r="X1268" s="57"/>
      <c r="Y1268" s="57"/>
      <c r="Z1268" s="57"/>
      <c r="AA1268" s="57"/>
      <c r="AB1268" s="57"/>
      <c r="AC1268" s="57"/>
      <c r="AD1268" s="57"/>
      <c r="AE1268" s="57"/>
      <c r="AF1268" s="57"/>
      <c r="AG1268" s="57"/>
      <c r="AH1268" s="57"/>
      <c r="AI1268" s="57"/>
      <c r="AJ1268" s="57"/>
      <c r="AK1268" s="57"/>
      <c r="AL1268" s="57"/>
      <c r="AM1268" s="57"/>
      <c r="AN1268" s="57"/>
      <c r="AO1268" s="57"/>
      <c r="AP1268" s="57"/>
      <c r="AQ1268" s="57"/>
      <c r="AR1268" s="57"/>
      <c r="AS1268" s="57"/>
      <c r="AT1268" s="57"/>
      <c r="AU1268" s="57"/>
      <c r="AV1268" s="57"/>
      <c r="AW1268" s="57"/>
      <c r="AX1268" s="57"/>
      <c r="AY1268" s="57"/>
      <c r="AZ1268" s="57"/>
      <c r="BA1268" s="57"/>
    </row>
    <row r="1269" spans="3:53" x14ac:dyDescent="0.25">
      <c r="C1269" s="71"/>
      <c r="K1269" s="71"/>
      <c r="L1269" s="71"/>
      <c r="M1269" s="67"/>
      <c r="W1269" s="76"/>
      <c r="X1269" s="57"/>
      <c r="Y1269" s="57"/>
      <c r="Z1269" s="57"/>
      <c r="AA1269" s="57"/>
      <c r="AB1269" s="57"/>
      <c r="AC1269" s="57"/>
      <c r="AD1269" s="57"/>
      <c r="AE1269" s="57"/>
      <c r="AF1269" s="57"/>
      <c r="AG1269" s="57"/>
      <c r="AH1269" s="57"/>
      <c r="AI1269" s="57"/>
      <c r="AJ1269" s="57"/>
      <c r="AK1269" s="57"/>
      <c r="AL1269" s="57"/>
      <c r="AM1269" s="57"/>
      <c r="AN1269" s="57"/>
      <c r="AO1269" s="57"/>
      <c r="AP1269" s="57"/>
      <c r="AQ1269" s="57"/>
      <c r="AR1269" s="57"/>
      <c r="AS1269" s="57"/>
      <c r="AT1269" s="57"/>
      <c r="AU1269" s="57"/>
      <c r="AV1269" s="57"/>
      <c r="AW1269" s="57"/>
      <c r="AX1269" s="57"/>
      <c r="AY1269" s="57"/>
      <c r="AZ1269" s="57"/>
      <c r="BA1269" s="57"/>
    </row>
    <row r="1270" spans="3:53" x14ac:dyDescent="0.25">
      <c r="C1270" s="71"/>
      <c r="K1270" s="71"/>
      <c r="L1270" s="71"/>
      <c r="M1270" s="67"/>
      <c r="W1270" s="76"/>
      <c r="X1270" s="57"/>
      <c r="Y1270" s="57"/>
      <c r="Z1270" s="57"/>
      <c r="AA1270" s="57"/>
      <c r="AB1270" s="57"/>
      <c r="AC1270" s="57"/>
      <c r="AD1270" s="57"/>
      <c r="AE1270" s="57"/>
      <c r="AF1270" s="57"/>
      <c r="AG1270" s="57"/>
      <c r="AH1270" s="57"/>
      <c r="AI1270" s="57"/>
      <c r="AJ1270" s="57"/>
      <c r="AK1270" s="57"/>
      <c r="AL1270" s="57"/>
      <c r="AM1270" s="57"/>
      <c r="AN1270" s="57"/>
      <c r="AO1270" s="57"/>
      <c r="AP1270" s="57"/>
      <c r="AQ1270" s="57"/>
      <c r="AR1270" s="57"/>
      <c r="AS1270" s="57"/>
      <c r="AT1270" s="57"/>
      <c r="AU1270" s="57"/>
      <c r="AV1270" s="57"/>
      <c r="AW1270" s="57"/>
      <c r="AX1270" s="57"/>
      <c r="AY1270" s="57"/>
      <c r="AZ1270" s="57"/>
      <c r="BA1270" s="57"/>
    </row>
    <row r="1271" spans="3:53" x14ac:dyDescent="0.25">
      <c r="C1271" s="71"/>
      <c r="K1271" s="71"/>
      <c r="L1271" s="71"/>
      <c r="M1271" s="67"/>
      <c r="W1271" s="76"/>
      <c r="X1271" s="57"/>
      <c r="Y1271" s="57"/>
      <c r="Z1271" s="57"/>
      <c r="AA1271" s="57"/>
      <c r="AB1271" s="57"/>
      <c r="AC1271" s="57"/>
      <c r="AD1271" s="57"/>
      <c r="AE1271" s="57"/>
      <c r="AF1271" s="57"/>
      <c r="AG1271" s="57"/>
      <c r="AH1271" s="57"/>
      <c r="AI1271" s="57"/>
      <c r="AJ1271" s="57"/>
      <c r="AK1271" s="57"/>
      <c r="AL1271" s="57"/>
      <c r="AM1271" s="57"/>
      <c r="AN1271" s="57"/>
      <c r="AO1271" s="57"/>
      <c r="AP1271" s="57"/>
      <c r="AQ1271" s="57"/>
      <c r="AR1271" s="57"/>
      <c r="AS1271" s="57"/>
      <c r="AT1271" s="57"/>
      <c r="AU1271" s="57"/>
      <c r="AV1271" s="57"/>
      <c r="AW1271" s="57"/>
      <c r="AX1271" s="57"/>
      <c r="AY1271" s="57"/>
      <c r="AZ1271" s="57"/>
      <c r="BA1271" s="57"/>
    </row>
    <row r="1272" spans="3:53" x14ac:dyDescent="0.25">
      <c r="C1272" s="71"/>
      <c r="K1272" s="71"/>
      <c r="L1272" s="71"/>
      <c r="M1272" s="67"/>
      <c r="W1272" s="76"/>
      <c r="X1272" s="57"/>
      <c r="Y1272" s="57"/>
      <c r="Z1272" s="57"/>
      <c r="AA1272" s="57"/>
      <c r="AB1272" s="57"/>
      <c r="AC1272" s="57"/>
      <c r="AD1272" s="57"/>
      <c r="AE1272" s="57"/>
      <c r="AF1272" s="57"/>
      <c r="AG1272" s="57"/>
      <c r="AH1272" s="57"/>
      <c r="AI1272" s="57"/>
      <c r="AJ1272" s="57"/>
      <c r="AK1272" s="57"/>
      <c r="AL1272" s="57"/>
      <c r="AM1272" s="57"/>
      <c r="AN1272" s="57"/>
      <c r="AO1272" s="57"/>
      <c r="AP1272" s="57"/>
      <c r="AQ1272" s="57"/>
      <c r="AR1272" s="57"/>
      <c r="AS1272" s="57"/>
      <c r="AT1272" s="57"/>
      <c r="AU1272" s="57"/>
      <c r="AV1272" s="57"/>
      <c r="AW1272" s="57"/>
      <c r="AX1272" s="57"/>
      <c r="AY1272" s="57"/>
      <c r="AZ1272" s="57"/>
      <c r="BA1272" s="57"/>
    </row>
    <row r="1273" spans="3:53" x14ac:dyDescent="0.25">
      <c r="C1273" s="71"/>
      <c r="K1273" s="71"/>
      <c r="L1273" s="71"/>
      <c r="M1273" s="67"/>
      <c r="W1273" s="76"/>
      <c r="X1273" s="57"/>
      <c r="Y1273" s="57"/>
      <c r="Z1273" s="57"/>
      <c r="AA1273" s="57"/>
      <c r="AB1273" s="57"/>
      <c r="AC1273" s="57"/>
      <c r="AD1273" s="57"/>
      <c r="AE1273" s="57"/>
      <c r="AF1273" s="57"/>
      <c r="AG1273" s="57"/>
      <c r="AH1273" s="57"/>
      <c r="AI1273" s="57"/>
      <c r="AJ1273" s="57"/>
      <c r="AK1273" s="57"/>
      <c r="AL1273" s="57"/>
      <c r="AM1273" s="57"/>
      <c r="AN1273" s="57"/>
      <c r="AO1273" s="57"/>
      <c r="AP1273" s="57"/>
      <c r="AQ1273" s="57"/>
      <c r="AR1273" s="57"/>
      <c r="AS1273" s="57"/>
      <c r="AT1273" s="57"/>
      <c r="AU1273" s="57"/>
      <c r="AV1273" s="57"/>
      <c r="AW1273" s="57"/>
      <c r="AX1273" s="57"/>
      <c r="AY1273" s="57"/>
      <c r="AZ1273" s="57"/>
      <c r="BA1273" s="57"/>
    </row>
    <row r="1274" spans="3:53" x14ac:dyDescent="0.25">
      <c r="C1274" s="71"/>
      <c r="K1274" s="71"/>
      <c r="L1274" s="71"/>
      <c r="M1274" s="67"/>
      <c r="W1274" s="76"/>
      <c r="X1274" s="57"/>
      <c r="Y1274" s="57"/>
      <c r="Z1274" s="57"/>
      <c r="AA1274" s="57"/>
      <c r="AB1274" s="57"/>
      <c r="AC1274" s="57"/>
      <c r="AD1274" s="57"/>
      <c r="AE1274" s="57"/>
      <c r="AF1274" s="57"/>
      <c r="AG1274" s="57"/>
      <c r="AH1274" s="57"/>
      <c r="AI1274" s="57"/>
      <c r="AJ1274" s="57"/>
      <c r="AK1274" s="57"/>
      <c r="AL1274" s="57"/>
      <c r="AM1274" s="57"/>
      <c r="AN1274" s="57"/>
      <c r="AO1274" s="57"/>
      <c r="AP1274" s="57"/>
      <c r="AQ1274" s="57"/>
      <c r="AR1274" s="57"/>
      <c r="AS1274" s="57"/>
      <c r="AT1274" s="57"/>
      <c r="AU1274" s="57"/>
      <c r="AV1274" s="57"/>
      <c r="AW1274" s="57"/>
      <c r="AX1274" s="57"/>
      <c r="AY1274" s="57"/>
      <c r="AZ1274" s="57"/>
      <c r="BA1274" s="57"/>
    </row>
    <row r="1275" spans="3:53" x14ac:dyDescent="0.25">
      <c r="C1275" s="71"/>
      <c r="K1275" s="71"/>
      <c r="L1275" s="71"/>
      <c r="M1275" s="67"/>
      <c r="W1275" s="76"/>
      <c r="X1275" s="57"/>
      <c r="Y1275" s="57"/>
      <c r="Z1275" s="57"/>
      <c r="AA1275" s="57"/>
      <c r="AB1275" s="57"/>
      <c r="AC1275" s="57"/>
      <c r="AD1275" s="57"/>
      <c r="AE1275" s="57"/>
      <c r="AF1275" s="57"/>
      <c r="AG1275" s="57"/>
      <c r="AH1275" s="57"/>
      <c r="AI1275" s="57"/>
      <c r="AJ1275" s="57"/>
      <c r="AK1275" s="57"/>
      <c r="AL1275" s="57"/>
      <c r="AM1275" s="57"/>
      <c r="AN1275" s="57"/>
      <c r="AO1275" s="57"/>
      <c r="AP1275" s="57"/>
      <c r="AQ1275" s="57"/>
      <c r="AR1275" s="57"/>
      <c r="AS1275" s="57"/>
      <c r="AT1275" s="57"/>
      <c r="AU1275" s="57"/>
      <c r="AV1275" s="57"/>
      <c r="AW1275" s="57"/>
      <c r="AX1275" s="57"/>
      <c r="AY1275" s="57"/>
      <c r="AZ1275" s="57"/>
      <c r="BA1275" s="57"/>
    </row>
    <row r="1276" spans="3:53" x14ac:dyDescent="0.25">
      <c r="C1276" s="71"/>
      <c r="K1276" s="71"/>
      <c r="L1276" s="71"/>
      <c r="M1276" s="67"/>
      <c r="W1276" s="76"/>
      <c r="X1276" s="57"/>
      <c r="Y1276" s="57"/>
      <c r="Z1276" s="57"/>
      <c r="AA1276" s="57"/>
      <c r="AB1276" s="57"/>
      <c r="AC1276" s="57"/>
      <c r="AD1276" s="57"/>
      <c r="AE1276" s="57"/>
      <c r="AF1276" s="57"/>
      <c r="AG1276" s="57"/>
      <c r="AH1276" s="57"/>
      <c r="AI1276" s="57"/>
      <c r="AJ1276" s="57"/>
      <c r="AK1276" s="57"/>
      <c r="AL1276" s="57"/>
      <c r="AM1276" s="57"/>
      <c r="AN1276" s="57"/>
      <c r="AO1276" s="57"/>
      <c r="AP1276" s="57"/>
      <c r="AQ1276" s="57"/>
      <c r="AR1276" s="57"/>
      <c r="AS1276" s="57"/>
      <c r="AT1276" s="57"/>
      <c r="AU1276" s="57"/>
      <c r="AV1276" s="57"/>
      <c r="AW1276" s="57"/>
      <c r="AX1276" s="57"/>
      <c r="AY1276" s="57"/>
      <c r="AZ1276" s="57"/>
      <c r="BA1276" s="57"/>
    </row>
    <row r="1277" spans="3:53" x14ac:dyDescent="0.25">
      <c r="C1277" s="71"/>
      <c r="K1277" s="71"/>
      <c r="L1277" s="71"/>
      <c r="M1277" s="67"/>
      <c r="W1277" s="76"/>
      <c r="X1277" s="57"/>
      <c r="Y1277" s="57"/>
      <c r="Z1277" s="57"/>
      <c r="AA1277" s="57"/>
      <c r="AB1277" s="57"/>
      <c r="AC1277" s="57"/>
      <c r="AD1277" s="57"/>
      <c r="AE1277" s="57"/>
      <c r="AF1277" s="57"/>
      <c r="AG1277" s="57"/>
      <c r="AH1277" s="57"/>
      <c r="AI1277" s="57"/>
      <c r="AJ1277" s="57"/>
      <c r="AK1277" s="57"/>
      <c r="AL1277" s="57"/>
      <c r="AM1277" s="57"/>
      <c r="AN1277" s="57"/>
      <c r="AO1277" s="57"/>
      <c r="AP1277" s="57"/>
      <c r="AQ1277" s="57"/>
      <c r="AR1277" s="57"/>
      <c r="AS1277" s="57"/>
      <c r="AT1277" s="57"/>
      <c r="AU1277" s="57"/>
      <c r="AV1277" s="57"/>
      <c r="AW1277" s="57"/>
      <c r="AX1277" s="57"/>
      <c r="AY1277" s="57"/>
      <c r="AZ1277" s="57"/>
      <c r="BA1277" s="57"/>
    </row>
    <row r="1278" spans="3:53" x14ac:dyDescent="0.25">
      <c r="C1278" s="71"/>
      <c r="K1278" s="71"/>
      <c r="L1278" s="71"/>
      <c r="M1278" s="67"/>
      <c r="W1278" s="76"/>
      <c r="X1278" s="57"/>
      <c r="Y1278" s="57"/>
      <c r="Z1278" s="57"/>
      <c r="AA1278" s="57"/>
      <c r="AB1278" s="57"/>
      <c r="AC1278" s="57"/>
      <c r="AD1278" s="57"/>
      <c r="AE1278" s="57"/>
      <c r="AF1278" s="57"/>
      <c r="AG1278" s="57"/>
      <c r="AH1278" s="57"/>
      <c r="AI1278" s="57"/>
      <c r="AJ1278" s="57"/>
      <c r="AK1278" s="57"/>
      <c r="AL1278" s="57"/>
      <c r="AM1278" s="57"/>
      <c r="AN1278" s="57"/>
      <c r="AO1278" s="57"/>
      <c r="AP1278" s="57"/>
      <c r="AQ1278" s="57"/>
      <c r="AR1278" s="57"/>
      <c r="AS1278" s="57"/>
      <c r="AT1278" s="57"/>
      <c r="AU1278" s="57"/>
      <c r="AV1278" s="57"/>
      <c r="AW1278" s="57"/>
      <c r="AX1278" s="57"/>
      <c r="AY1278" s="57"/>
      <c r="AZ1278" s="57"/>
      <c r="BA1278" s="57"/>
    </row>
    <row r="1279" spans="3:53" x14ac:dyDescent="0.25">
      <c r="C1279" s="71"/>
      <c r="K1279" s="71"/>
      <c r="L1279" s="71"/>
      <c r="M1279" s="67"/>
      <c r="W1279" s="76"/>
      <c r="X1279" s="57"/>
      <c r="Y1279" s="57"/>
      <c r="Z1279" s="57"/>
      <c r="AA1279" s="57"/>
      <c r="AB1279" s="57"/>
      <c r="AC1279" s="57"/>
      <c r="AD1279" s="57"/>
      <c r="AE1279" s="57"/>
      <c r="AF1279" s="57"/>
      <c r="AG1279" s="57"/>
      <c r="AH1279" s="57"/>
      <c r="AI1279" s="57"/>
      <c r="AJ1279" s="57"/>
      <c r="AK1279" s="57"/>
      <c r="AL1279" s="57"/>
      <c r="AM1279" s="57"/>
      <c r="AN1279" s="57"/>
      <c r="AO1279" s="57"/>
      <c r="AP1279" s="57"/>
      <c r="AQ1279" s="57"/>
      <c r="AR1279" s="57"/>
      <c r="AS1279" s="57"/>
      <c r="AT1279" s="57"/>
      <c r="AU1279" s="57"/>
      <c r="AV1279" s="57"/>
      <c r="AW1279" s="57"/>
      <c r="AX1279" s="57"/>
      <c r="AY1279" s="57"/>
      <c r="AZ1279" s="57"/>
      <c r="BA1279" s="57"/>
    </row>
    <row r="1280" spans="3:53" x14ac:dyDescent="0.25">
      <c r="C1280" s="71"/>
      <c r="K1280" s="71"/>
      <c r="L1280" s="71"/>
      <c r="M1280" s="67"/>
      <c r="W1280" s="76"/>
      <c r="X1280" s="57"/>
      <c r="Y1280" s="57"/>
      <c r="Z1280" s="57"/>
      <c r="AA1280" s="57"/>
      <c r="AB1280" s="57"/>
      <c r="AC1280" s="57"/>
      <c r="AD1280" s="57"/>
      <c r="AE1280" s="57"/>
      <c r="AF1280" s="57"/>
      <c r="AG1280" s="57"/>
      <c r="AH1280" s="57"/>
      <c r="AI1280" s="57"/>
      <c r="AJ1280" s="57"/>
      <c r="AK1280" s="57"/>
      <c r="AL1280" s="57"/>
      <c r="AM1280" s="57"/>
      <c r="AN1280" s="57"/>
      <c r="AO1280" s="57"/>
      <c r="AP1280" s="57"/>
      <c r="AQ1280" s="57"/>
      <c r="AR1280" s="57"/>
      <c r="AS1280" s="57"/>
      <c r="AT1280" s="57"/>
      <c r="AU1280" s="57"/>
      <c r="AV1280" s="57"/>
      <c r="AW1280" s="57"/>
      <c r="AX1280" s="57"/>
      <c r="AY1280" s="57"/>
      <c r="AZ1280" s="57"/>
      <c r="BA1280" s="57"/>
    </row>
    <row r="1281" spans="3:53" x14ac:dyDescent="0.25">
      <c r="C1281" s="71"/>
      <c r="K1281" s="71"/>
      <c r="L1281" s="71"/>
      <c r="M1281" s="67"/>
      <c r="W1281" s="76"/>
      <c r="X1281" s="57"/>
      <c r="Y1281" s="57"/>
      <c r="Z1281" s="57"/>
      <c r="AA1281" s="57"/>
      <c r="AB1281" s="57"/>
      <c r="AC1281" s="57"/>
      <c r="AD1281" s="57"/>
      <c r="AE1281" s="57"/>
      <c r="AF1281" s="57"/>
      <c r="AG1281" s="57"/>
      <c r="AH1281" s="57"/>
      <c r="AI1281" s="57"/>
      <c r="AJ1281" s="57"/>
      <c r="AK1281" s="57"/>
      <c r="AL1281" s="57"/>
      <c r="AM1281" s="57"/>
      <c r="AN1281" s="57"/>
      <c r="AO1281" s="57"/>
      <c r="AP1281" s="57"/>
      <c r="AQ1281" s="57"/>
      <c r="AR1281" s="57"/>
      <c r="AS1281" s="57"/>
      <c r="AT1281" s="57"/>
      <c r="AU1281" s="57"/>
      <c r="AV1281" s="57"/>
      <c r="AW1281" s="57"/>
      <c r="AX1281" s="57"/>
      <c r="AY1281" s="57"/>
      <c r="AZ1281" s="57"/>
      <c r="BA1281" s="57"/>
    </row>
    <row r="1282" spans="3:53" x14ac:dyDescent="0.25">
      <c r="C1282" s="71"/>
      <c r="K1282" s="71"/>
      <c r="L1282" s="71"/>
      <c r="M1282" s="67"/>
      <c r="W1282" s="76"/>
      <c r="X1282" s="57"/>
      <c r="Y1282" s="57"/>
      <c r="Z1282" s="57"/>
      <c r="AA1282" s="57"/>
      <c r="AB1282" s="57"/>
      <c r="AC1282" s="57"/>
      <c r="AD1282" s="57"/>
      <c r="AE1282" s="57"/>
      <c r="AF1282" s="57"/>
      <c r="AG1282" s="57"/>
      <c r="AH1282" s="57"/>
      <c r="AI1282" s="57"/>
      <c r="AJ1282" s="57"/>
      <c r="AK1282" s="57"/>
      <c r="AL1282" s="57"/>
      <c r="AM1282" s="57"/>
      <c r="AN1282" s="57"/>
      <c r="AO1282" s="57"/>
      <c r="AP1282" s="57"/>
      <c r="AQ1282" s="57"/>
      <c r="AR1282" s="57"/>
      <c r="AS1282" s="57"/>
      <c r="AT1282" s="57"/>
      <c r="AU1282" s="57"/>
      <c r="AV1282" s="57"/>
      <c r="AW1282" s="57"/>
      <c r="AX1282" s="57"/>
      <c r="AY1282" s="57"/>
      <c r="AZ1282" s="57"/>
      <c r="BA1282" s="57"/>
    </row>
    <row r="1283" spans="3:53" x14ac:dyDescent="0.25">
      <c r="C1283" s="71"/>
      <c r="K1283" s="71"/>
      <c r="L1283" s="71"/>
      <c r="M1283" s="67"/>
      <c r="W1283" s="76"/>
      <c r="X1283" s="57"/>
      <c r="Y1283" s="57"/>
      <c r="Z1283" s="57"/>
      <c r="AA1283" s="57"/>
      <c r="AB1283" s="57"/>
      <c r="AC1283" s="57"/>
      <c r="AD1283" s="57"/>
      <c r="AE1283" s="57"/>
      <c r="AF1283" s="57"/>
      <c r="AG1283" s="57"/>
      <c r="AH1283" s="57"/>
      <c r="AI1283" s="57"/>
      <c r="AJ1283" s="57"/>
      <c r="AK1283" s="57"/>
      <c r="AL1283" s="57"/>
      <c r="AM1283" s="57"/>
      <c r="AN1283" s="57"/>
      <c r="AO1283" s="57"/>
      <c r="AP1283" s="57"/>
      <c r="AQ1283" s="57"/>
      <c r="AR1283" s="57"/>
      <c r="AS1283" s="57"/>
      <c r="AT1283" s="57"/>
      <c r="AU1283" s="57"/>
      <c r="AV1283" s="57"/>
      <c r="AW1283" s="57"/>
      <c r="AX1283" s="57"/>
      <c r="AY1283" s="57"/>
      <c r="AZ1283" s="57"/>
      <c r="BA1283" s="57"/>
    </row>
    <row r="1284" spans="3:53" x14ac:dyDescent="0.25">
      <c r="C1284" s="71"/>
      <c r="K1284" s="71"/>
      <c r="L1284" s="71"/>
      <c r="M1284" s="67"/>
      <c r="W1284" s="76"/>
      <c r="X1284" s="57"/>
      <c r="Y1284" s="57"/>
      <c r="Z1284" s="57"/>
      <c r="AA1284" s="57"/>
      <c r="AB1284" s="57"/>
      <c r="AC1284" s="57"/>
      <c r="AD1284" s="57"/>
      <c r="AE1284" s="57"/>
      <c r="AF1284" s="57"/>
      <c r="AG1284" s="57"/>
      <c r="AH1284" s="57"/>
      <c r="AI1284" s="57"/>
      <c r="AJ1284" s="57"/>
      <c r="AK1284" s="57"/>
      <c r="AL1284" s="57"/>
      <c r="AM1284" s="57"/>
      <c r="AN1284" s="57"/>
      <c r="AO1284" s="57"/>
      <c r="AP1284" s="57"/>
      <c r="AQ1284" s="57"/>
      <c r="AR1284" s="57"/>
      <c r="AS1284" s="57"/>
      <c r="AT1284" s="57"/>
      <c r="AU1284" s="57"/>
      <c r="AV1284" s="57"/>
      <c r="AW1284" s="57"/>
      <c r="AX1284" s="57"/>
      <c r="AY1284" s="57"/>
      <c r="AZ1284" s="57"/>
      <c r="BA1284" s="57"/>
    </row>
    <row r="1285" spans="3:53" x14ac:dyDescent="0.25">
      <c r="C1285" s="71"/>
      <c r="K1285" s="71"/>
      <c r="L1285" s="71"/>
      <c r="M1285" s="67"/>
      <c r="W1285" s="76"/>
      <c r="X1285" s="57"/>
      <c r="Y1285" s="57"/>
      <c r="Z1285" s="57"/>
      <c r="AA1285" s="57"/>
      <c r="AB1285" s="57"/>
      <c r="AC1285" s="57"/>
      <c r="AD1285" s="57"/>
      <c r="AE1285" s="57"/>
      <c r="AF1285" s="57"/>
      <c r="AG1285" s="57"/>
      <c r="AH1285" s="57"/>
      <c r="AI1285" s="57"/>
      <c r="AJ1285" s="57"/>
      <c r="AK1285" s="57"/>
      <c r="AL1285" s="57"/>
      <c r="AM1285" s="57"/>
      <c r="AN1285" s="57"/>
      <c r="AO1285" s="57"/>
      <c r="AP1285" s="57"/>
      <c r="AQ1285" s="57"/>
      <c r="AR1285" s="57"/>
      <c r="AS1285" s="57"/>
      <c r="AT1285" s="57"/>
      <c r="AU1285" s="57"/>
      <c r="AV1285" s="57"/>
      <c r="AW1285" s="57"/>
      <c r="AX1285" s="57"/>
      <c r="AY1285" s="57"/>
      <c r="AZ1285" s="57"/>
      <c r="BA1285" s="57"/>
    </row>
    <row r="1286" spans="3:53" x14ac:dyDescent="0.25">
      <c r="C1286" s="71"/>
      <c r="K1286" s="71"/>
      <c r="L1286" s="71"/>
      <c r="M1286" s="67"/>
      <c r="W1286" s="76"/>
      <c r="X1286" s="57"/>
      <c r="Y1286" s="57"/>
      <c r="Z1286" s="57"/>
      <c r="AA1286" s="57"/>
      <c r="AB1286" s="57"/>
      <c r="AC1286" s="57"/>
      <c r="AD1286" s="57"/>
      <c r="AE1286" s="57"/>
      <c r="AF1286" s="57"/>
      <c r="AG1286" s="57"/>
      <c r="AH1286" s="57"/>
      <c r="AI1286" s="57"/>
      <c r="AJ1286" s="57"/>
      <c r="AK1286" s="57"/>
      <c r="AL1286" s="57"/>
      <c r="AM1286" s="57"/>
      <c r="AN1286" s="57"/>
      <c r="AO1286" s="57"/>
      <c r="AP1286" s="57"/>
      <c r="AQ1286" s="57"/>
      <c r="AR1286" s="57"/>
      <c r="AS1286" s="57"/>
      <c r="AT1286" s="57"/>
      <c r="AU1286" s="57"/>
      <c r="AV1286" s="57"/>
      <c r="AW1286" s="57"/>
      <c r="AX1286" s="57"/>
      <c r="AY1286" s="57"/>
      <c r="AZ1286" s="57"/>
      <c r="BA1286" s="57"/>
    </row>
    <row r="1287" spans="3:53" x14ac:dyDescent="0.25">
      <c r="C1287" s="71"/>
      <c r="K1287" s="71"/>
      <c r="L1287" s="71"/>
      <c r="M1287" s="67"/>
      <c r="W1287" s="76"/>
      <c r="X1287" s="57"/>
      <c r="Y1287" s="57"/>
      <c r="Z1287" s="57"/>
      <c r="AA1287" s="57"/>
      <c r="AB1287" s="57"/>
      <c r="AC1287" s="57"/>
      <c r="AD1287" s="57"/>
      <c r="AE1287" s="57"/>
      <c r="AF1287" s="57"/>
      <c r="AG1287" s="57"/>
      <c r="AH1287" s="57"/>
      <c r="AI1287" s="57"/>
      <c r="AJ1287" s="57"/>
      <c r="AK1287" s="57"/>
      <c r="AL1287" s="57"/>
      <c r="AM1287" s="57"/>
      <c r="AN1287" s="57"/>
      <c r="AO1287" s="57"/>
      <c r="AP1287" s="57"/>
      <c r="AQ1287" s="57"/>
      <c r="AR1287" s="57"/>
      <c r="AS1287" s="57"/>
      <c r="AT1287" s="57"/>
      <c r="AU1287" s="57"/>
      <c r="AV1287" s="57"/>
      <c r="AW1287" s="57"/>
      <c r="AX1287" s="57"/>
      <c r="AY1287" s="57"/>
      <c r="AZ1287" s="57"/>
      <c r="BA1287" s="57"/>
    </row>
    <row r="1288" spans="3:53" x14ac:dyDescent="0.25">
      <c r="C1288" s="71"/>
      <c r="K1288" s="71"/>
      <c r="L1288" s="71"/>
      <c r="M1288" s="67"/>
      <c r="W1288" s="76"/>
      <c r="X1288" s="57"/>
      <c r="Y1288" s="57"/>
      <c r="Z1288" s="57"/>
      <c r="AA1288" s="57"/>
      <c r="AB1288" s="57"/>
      <c r="AC1288" s="57"/>
      <c r="AD1288" s="57"/>
      <c r="AE1288" s="57"/>
      <c r="AF1288" s="57"/>
      <c r="AG1288" s="57"/>
      <c r="AH1288" s="57"/>
      <c r="AI1288" s="57"/>
      <c r="AJ1288" s="57"/>
      <c r="AK1288" s="57"/>
      <c r="AL1288" s="57"/>
      <c r="AM1288" s="57"/>
      <c r="AN1288" s="57"/>
      <c r="AO1288" s="57"/>
      <c r="AP1288" s="57"/>
      <c r="AQ1288" s="57"/>
      <c r="AR1288" s="57"/>
      <c r="AS1288" s="57"/>
      <c r="AT1288" s="57"/>
      <c r="AU1288" s="57"/>
      <c r="AV1288" s="57"/>
      <c r="AW1288" s="57"/>
      <c r="AX1288" s="57"/>
      <c r="AY1288" s="57"/>
      <c r="AZ1288" s="57"/>
      <c r="BA1288" s="57"/>
    </row>
    <row r="1289" spans="3:53" x14ac:dyDescent="0.25">
      <c r="C1289" s="71"/>
      <c r="K1289" s="71"/>
      <c r="L1289" s="71"/>
      <c r="M1289" s="67"/>
      <c r="W1289" s="76"/>
      <c r="X1289" s="57"/>
      <c r="Y1289" s="57"/>
      <c r="Z1289" s="57"/>
      <c r="AA1289" s="57"/>
      <c r="AB1289" s="57"/>
      <c r="AC1289" s="57"/>
      <c r="AD1289" s="57"/>
      <c r="AE1289" s="57"/>
      <c r="AF1289" s="57"/>
      <c r="AG1289" s="57"/>
      <c r="AH1289" s="57"/>
      <c r="AI1289" s="57"/>
      <c r="AJ1289" s="57"/>
      <c r="AK1289" s="57"/>
      <c r="AL1289" s="57"/>
      <c r="AM1289" s="57"/>
      <c r="AN1289" s="57"/>
      <c r="AO1289" s="57"/>
      <c r="AP1289" s="57"/>
      <c r="AQ1289" s="57"/>
      <c r="AR1289" s="57"/>
      <c r="AS1289" s="57"/>
      <c r="AT1289" s="57"/>
      <c r="AU1289" s="57"/>
      <c r="AV1289" s="57"/>
      <c r="AW1289" s="57"/>
      <c r="AX1289" s="57"/>
      <c r="AY1289" s="57"/>
      <c r="AZ1289" s="57"/>
      <c r="BA1289" s="57"/>
    </row>
    <row r="1290" spans="3:53" x14ac:dyDescent="0.25">
      <c r="C1290" s="71"/>
      <c r="K1290" s="71"/>
      <c r="L1290" s="71"/>
      <c r="M1290" s="67"/>
      <c r="W1290" s="76"/>
      <c r="X1290" s="57"/>
      <c r="Y1290" s="57"/>
      <c r="Z1290" s="57"/>
      <c r="AA1290" s="57"/>
      <c r="AB1290" s="57"/>
      <c r="AC1290" s="57"/>
      <c r="AD1290" s="57"/>
      <c r="AE1290" s="57"/>
      <c r="AF1290" s="57"/>
      <c r="AG1290" s="57"/>
      <c r="AH1290" s="57"/>
      <c r="AI1290" s="57"/>
      <c r="AJ1290" s="57"/>
      <c r="AK1290" s="57"/>
      <c r="AL1290" s="57"/>
      <c r="AM1290" s="57"/>
      <c r="AN1290" s="57"/>
      <c r="AO1290" s="57"/>
      <c r="AP1290" s="57"/>
      <c r="AQ1290" s="57"/>
      <c r="AR1290" s="57"/>
      <c r="AS1290" s="57"/>
      <c r="AT1290" s="57"/>
      <c r="AU1290" s="57"/>
      <c r="AV1290" s="57"/>
      <c r="AW1290" s="57"/>
      <c r="AX1290" s="57"/>
      <c r="AY1290" s="57"/>
      <c r="AZ1290" s="57"/>
      <c r="BA1290" s="57"/>
    </row>
    <row r="1291" spans="3:53" x14ac:dyDescent="0.25">
      <c r="C1291" s="71"/>
      <c r="K1291" s="71"/>
      <c r="L1291" s="71"/>
      <c r="M1291" s="67"/>
      <c r="W1291" s="76"/>
      <c r="X1291" s="57"/>
      <c r="Y1291" s="57"/>
      <c r="Z1291" s="57"/>
      <c r="AA1291" s="57"/>
      <c r="AB1291" s="57"/>
      <c r="AC1291" s="57"/>
      <c r="AD1291" s="57"/>
      <c r="AE1291" s="57"/>
      <c r="AF1291" s="57"/>
      <c r="AG1291" s="57"/>
      <c r="AH1291" s="57"/>
      <c r="AI1291" s="57"/>
      <c r="AJ1291" s="57"/>
      <c r="AK1291" s="57"/>
      <c r="AL1291" s="57"/>
      <c r="AM1291" s="57"/>
      <c r="AN1291" s="57"/>
      <c r="AO1291" s="57"/>
      <c r="AP1291" s="57"/>
      <c r="AQ1291" s="57"/>
      <c r="AR1291" s="57"/>
      <c r="AS1291" s="57"/>
      <c r="AT1291" s="57"/>
      <c r="AU1291" s="57"/>
      <c r="AV1291" s="57"/>
      <c r="AW1291" s="57"/>
      <c r="AX1291" s="57"/>
      <c r="AY1291" s="57"/>
      <c r="AZ1291" s="57"/>
      <c r="BA1291" s="57"/>
    </row>
    <row r="1292" spans="3:53" x14ac:dyDescent="0.25">
      <c r="C1292" s="71"/>
      <c r="K1292" s="71"/>
      <c r="L1292" s="71"/>
      <c r="M1292" s="67"/>
      <c r="W1292" s="76"/>
      <c r="X1292" s="57"/>
      <c r="Y1292" s="57"/>
      <c r="Z1292" s="57"/>
      <c r="AA1292" s="57"/>
      <c r="AB1292" s="57"/>
      <c r="AC1292" s="57"/>
      <c r="AD1292" s="57"/>
      <c r="AE1292" s="57"/>
      <c r="AF1292" s="57"/>
      <c r="AG1292" s="57"/>
      <c r="AH1292" s="57"/>
      <c r="AI1292" s="57"/>
      <c r="AJ1292" s="57"/>
      <c r="AK1292" s="57"/>
      <c r="AL1292" s="57"/>
      <c r="AM1292" s="57"/>
      <c r="AN1292" s="57"/>
      <c r="AO1292" s="57"/>
      <c r="AP1292" s="57"/>
      <c r="AQ1292" s="57"/>
      <c r="AR1292" s="57"/>
      <c r="AS1292" s="57"/>
      <c r="AT1292" s="57"/>
      <c r="AU1292" s="57"/>
      <c r="AV1292" s="57"/>
      <c r="AW1292" s="57"/>
      <c r="AX1292" s="57"/>
      <c r="AY1292" s="57"/>
      <c r="AZ1292" s="57"/>
      <c r="BA1292" s="57"/>
    </row>
    <row r="1293" spans="3:53" x14ac:dyDescent="0.25">
      <c r="C1293" s="71"/>
      <c r="K1293" s="71"/>
      <c r="L1293" s="71"/>
      <c r="M1293" s="67"/>
      <c r="W1293" s="76"/>
      <c r="X1293" s="57"/>
      <c r="Y1293" s="57"/>
      <c r="Z1293" s="57"/>
      <c r="AA1293" s="57"/>
      <c r="AB1293" s="57"/>
      <c r="AC1293" s="57"/>
      <c r="AD1293" s="57"/>
      <c r="AE1293" s="57"/>
      <c r="AF1293" s="57"/>
      <c r="AG1293" s="57"/>
      <c r="AH1293" s="57"/>
      <c r="AI1293" s="57"/>
      <c r="AJ1293" s="57"/>
      <c r="AK1293" s="57"/>
      <c r="AL1293" s="57"/>
      <c r="AM1293" s="57"/>
      <c r="AN1293" s="57"/>
      <c r="AO1293" s="57"/>
      <c r="AP1293" s="57"/>
      <c r="AQ1293" s="57"/>
      <c r="AR1293" s="57"/>
      <c r="AS1293" s="57"/>
      <c r="AT1293" s="57"/>
      <c r="AU1293" s="57"/>
      <c r="AV1293" s="57"/>
      <c r="AW1293" s="57"/>
      <c r="AX1293" s="57"/>
      <c r="AY1293" s="57"/>
      <c r="AZ1293" s="57"/>
      <c r="BA1293" s="57"/>
    </row>
    <row r="1294" spans="3:53" x14ac:dyDescent="0.25">
      <c r="C1294" s="71"/>
      <c r="K1294" s="71"/>
      <c r="L1294" s="71"/>
      <c r="M1294" s="67"/>
      <c r="W1294" s="76"/>
      <c r="X1294" s="57"/>
      <c r="Y1294" s="57"/>
      <c r="Z1294" s="57"/>
      <c r="AA1294" s="57"/>
      <c r="AB1294" s="57"/>
      <c r="AC1294" s="57"/>
      <c r="AD1294" s="57"/>
      <c r="AE1294" s="57"/>
      <c r="AF1294" s="57"/>
      <c r="AG1294" s="57"/>
      <c r="AH1294" s="57"/>
      <c r="AI1294" s="57"/>
      <c r="AJ1294" s="57"/>
      <c r="AK1294" s="57"/>
      <c r="AL1294" s="57"/>
      <c r="AM1294" s="57"/>
      <c r="AN1294" s="57"/>
      <c r="AO1294" s="57"/>
      <c r="AP1294" s="57"/>
      <c r="AQ1294" s="57"/>
      <c r="AR1294" s="57"/>
      <c r="AS1294" s="57"/>
      <c r="AT1294" s="57"/>
      <c r="AU1294" s="57"/>
      <c r="AV1294" s="57"/>
      <c r="AW1294" s="57"/>
      <c r="AX1294" s="57"/>
      <c r="AY1294" s="57"/>
      <c r="AZ1294" s="57"/>
      <c r="BA1294" s="57"/>
    </row>
    <row r="1295" spans="3:53" x14ac:dyDescent="0.25">
      <c r="C1295" s="71"/>
      <c r="K1295" s="71"/>
      <c r="L1295" s="71"/>
      <c r="M1295" s="67"/>
      <c r="W1295" s="76"/>
      <c r="X1295" s="57"/>
      <c r="Y1295" s="57"/>
      <c r="Z1295" s="57"/>
      <c r="AA1295" s="57"/>
      <c r="AB1295" s="57"/>
      <c r="AC1295" s="57"/>
      <c r="AD1295" s="57"/>
      <c r="AE1295" s="57"/>
      <c r="AF1295" s="57"/>
      <c r="AG1295" s="57"/>
      <c r="AH1295" s="57"/>
      <c r="AI1295" s="57"/>
      <c r="AJ1295" s="57"/>
      <c r="AK1295" s="57"/>
      <c r="AL1295" s="57"/>
      <c r="AM1295" s="57"/>
      <c r="AN1295" s="57"/>
      <c r="AO1295" s="57"/>
      <c r="AP1295" s="57"/>
      <c r="AQ1295" s="57"/>
      <c r="AR1295" s="57"/>
      <c r="AS1295" s="57"/>
      <c r="AT1295" s="57"/>
      <c r="AU1295" s="57"/>
      <c r="AV1295" s="57"/>
      <c r="AW1295" s="57"/>
      <c r="AX1295" s="57"/>
      <c r="AY1295" s="57"/>
      <c r="AZ1295" s="57"/>
      <c r="BA1295" s="57"/>
    </row>
    <row r="1296" spans="3:53" x14ac:dyDescent="0.25">
      <c r="C1296" s="71"/>
      <c r="K1296" s="71"/>
      <c r="L1296" s="71"/>
      <c r="M1296" s="67"/>
      <c r="W1296" s="76"/>
      <c r="X1296" s="57"/>
      <c r="Y1296" s="57"/>
      <c r="Z1296" s="57"/>
      <c r="AA1296" s="57"/>
      <c r="AB1296" s="57"/>
      <c r="AC1296" s="57"/>
      <c r="AD1296" s="57"/>
      <c r="AE1296" s="57"/>
      <c r="AF1296" s="57"/>
      <c r="AG1296" s="57"/>
      <c r="AH1296" s="57"/>
      <c r="AI1296" s="57"/>
      <c r="AJ1296" s="57"/>
      <c r="AK1296" s="57"/>
      <c r="AL1296" s="57"/>
      <c r="AM1296" s="57"/>
      <c r="AN1296" s="57"/>
      <c r="AO1296" s="57"/>
      <c r="AP1296" s="57"/>
      <c r="AQ1296" s="57"/>
      <c r="AR1296" s="57"/>
      <c r="AS1296" s="57"/>
      <c r="AT1296" s="57"/>
      <c r="AU1296" s="57"/>
      <c r="AV1296" s="57"/>
      <c r="AW1296" s="57"/>
      <c r="AX1296" s="57"/>
      <c r="AY1296" s="57"/>
      <c r="AZ1296" s="57"/>
      <c r="BA1296" s="57"/>
    </row>
    <row r="1297" spans="3:53" x14ac:dyDescent="0.25">
      <c r="C1297" s="71"/>
      <c r="K1297" s="71"/>
      <c r="L1297" s="71"/>
      <c r="M1297" s="67"/>
      <c r="W1297" s="76"/>
      <c r="X1297" s="57"/>
      <c r="Y1297" s="57"/>
      <c r="Z1297" s="57"/>
      <c r="AA1297" s="57"/>
      <c r="AB1297" s="57"/>
      <c r="AC1297" s="57"/>
      <c r="AD1297" s="57"/>
      <c r="AE1297" s="57"/>
      <c r="AF1297" s="57"/>
      <c r="AG1297" s="57"/>
      <c r="AH1297" s="57"/>
      <c r="AI1297" s="57"/>
      <c r="AJ1297" s="57"/>
      <c r="AK1297" s="57"/>
      <c r="AL1297" s="57"/>
      <c r="AM1297" s="57"/>
      <c r="AN1297" s="57"/>
      <c r="AO1297" s="57"/>
      <c r="AP1297" s="57"/>
      <c r="AQ1297" s="57"/>
      <c r="AR1297" s="57"/>
      <c r="AS1297" s="57"/>
      <c r="AT1297" s="57"/>
      <c r="AU1297" s="57"/>
      <c r="AV1297" s="57"/>
      <c r="AW1297" s="57"/>
      <c r="AX1297" s="57"/>
      <c r="AY1297" s="57"/>
      <c r="AZ1297" s="57"/>
      <c r="BA1297" s="57"/>
    </row>
    <row r="1298" spans="3:53" x14ac:dyDescent="0.25">
      <c r="C1298" s="71"/>
      <c r="K1298" s="71"/>
      <c r="L1298" s="71"/>
      <c r="M1298" s="67"/>
      <c r="W1298" s="76"/>
      <c r="X1298" s="57"/>
      <c r="Y1298" s="57"/>
      <c r="Z1298" s="57"/>
      <c r="AA1298" s="57"/>
      <c r="AB1298" s="57"/>
      <c r="AC1298" s="57"/>
      <c r="AD1298" s="57"/>
      <c r="AE1298" s="57"/>
      <c r="AF1298" s="57"/>
      <c r="AG1298" s="57"/>
      <c r="AH1298" s="57"/>
      <c r="AI1298" s="57"/>
      <c r="AJ1298" s="57"/>
      <c r="AK1298" s="57"/>
      <c r="AL1298" s="57"/>
      <c r="AM1298" s="57"/>
      <c r="AN1298" s="57"/>
      <c r="AO1298" s="57"/>
      <c r="AP1298" s="57"/>
      <c r="AQ1298" s="57"/>
      <c r="AR1298" s="57"/>
      <c r="AS1298" s="57"/>
      <c r="AT1298" s="57"/>
      <c r="AU1298" s="57"/>
      <c r="AV1298" s="57"/>
      <c r="AW1298" s="57"/>
      <c r="AX1298" s="57"/>
      <c r="AY1298" s="57"/>
      <c r="AZ1298" s="57"/>
      <c r="BA1298" s="57"/>
    </row>
    <row r="1299" spans="3:53" x14ac:dyDescent="0.25">
      <c r="C1299" s="71"/>
      <c r="K1299" s="71"/>
      <c r="L1299" s="71"/>
      <c r="M1299" s="67"/>
      <c r="W1299" s="76"/>
      <c r="X1299" s="57"/>
      <c r="Y1299" s="57"/>
      <c r="Z1299" s="57"/>
      <c r="AA1299" s="57"/>
      <c r="AB1299" s="57"/>
      <c r="AC1299" s="57"/>
      <c r="AD1299" s="57"/>
      <c r="AE1299" s="57"/>
      <c r="AF1299" s="57"/>
      <c r="AG1299" s="57"/>
      <c r="AH1299" s="57"/>
      <c r="AI1299" s="57"/>
      <c r="AJ1299" s="57"/>
      <c r="AK1299" s="57"/>
      <c r="AL1299" s="57"/>
      <c r="AM1299" s="57"/>
      <c r="AN1299" s="57"/>
      <c r="AO1299" s="57"/>
      <c r="AP1299" s="57"/>
      <c r="AQ1299" s="57"/>
      <c r="AR1299" s="57"/>
      <c r="AS1299" s="57"/>
      <c r="AT1299" s="57"/>
      <c r="AU1299" s="57"/>
      <c r="AV1299" s="57"/>
      <c r="AW1299" s="57"/>
      <c r="AX1299" s="57"/>
      <c r="AY1299" s="57"/>
      <c r="AZ1299" s="57"/>
      <c r="BA1299" s="57"/>
    </row>
    <row r="1300" spans="3:53" x14ac:dyDescent="0.25">
      <c r="C1300" s="71"/>
      <c r="K1300" s="71"/>
      <c r="L1300" s="71"/>
      <c r="M1300" s="67"/>
      <c r="W1300" s="76"/>
      <c r="X1300" s="57"/>
      <c r="Y1300" s="57"/>
      <c r="Z1300" s="57"/>
      <c r="AA1300" s="57"/>
      <c r="AB1300" s="57"/>
      <c r="AC1300" s="57"/>
      <c r="AD1300" s="57"/>
      <c r="AE1300" s="57"/>
      <c r="AF1300" s="57"/>
      <c r="AG1300" s="57"/>
      <c r="AH1300" s="57"/>
      <c r="AI1300" s="57"/>
      <c r="AJ1300" s="57"/>
      <c r="AK1300" s="57"/>
      <c r="AL1300" s="57"/>
      <c r="AM1300" s="57"/>
      <c r="AN1300" s="57"/>
      <c r="AO1300" s="57"/>
      <c r="AP1300" s="57"/>
      <c r="AQ1300" s="57"/>
      <c r="AR1300" s="57"/>
      <c r="AS1300" s="57"/>
      <c r="AT1300" s="57"/>
      <c r="AU1300" s="57"/>
      <c r="AV1300" s="57"/>
      <c r="AW1300" s="57"/>
      <c r="AX1300" s="57"/>
      <c r="AY1300" s="57"/>
      <c r="AZ1300" s="57"/>
      <c r="BA1300" s="57"/>
    </row>
    <row r="1301" spans="3:53" x14ac:dyDescent="0.25">
      <c r="C1301" s="71"/>
      <c r="K1301" s="71"/>
      <c r="L1301" s="71"/>
      <c r="M1301" s="67"/>
      <c r="W1301" s="76"/>
      <c r="X1301" s="57"/>
      <c r="Y1301" s="57"/>
      <c r="Z1301" s="57"/>
      <c r="AA1301" s="57"/>
      <c r="AB1301" s="57"/>
      <c r="AC1301" s="57"/>
      <c r="AD1301" s="57"/>
      <c r="AE1301" s="57"/>
      <c r="AF1301" s="57"/>
      <c r="AG1301" s="57"/>
      <c r="AH1301" s="57"/>
      <c r="AI1301" s="57"/>
      <c r="AJ1301" s="57"/>
      <c r="AK1301" s="57"/>
      <c r="AL1301" s="57"/>
      <c r="AM1301" s="57"/>
      <c r="AN1301" s="57"/>
      <c r="AO1301" s="57"/>
      <c r="AP1301" s="57"/>
      <c r="AQ1301" s="57"/>
      <c r="AR1301" s="57"/>
      <c r="AS1301" s="57"/>
      <c r="AT1301" s="57"/>
      <c r="AU1301" s="57"/>
      <c r="AV1301" s="57"/>
      <c r="AW1301" s="57"/>
      <c r="AX1301" s="57"/>
      <c r="AY1301" s="57"/>
      <c r="AZ1301" s="57"/>
      <c r="BA1301" s="57"/>
    </row>
    <row r="1302" spans="3:53" x14ac:dyDescent="0.25">
      <c r="C1302" s="71"/>
      <c r="K1302" s="71"/>
      <c r="L1302" s="71"/>
      <c r="M1302" s="67"/>
      <c r="W1302" s="76"/>
      <c r="X1302" s="57"/>
      <c r="Y1302" s="57"/>
      <c r="Z1302" s="57"/>
      <c r="AA1302" s="57"/>
      <c r="AB1302" s="57"/>
      <c r="AC1302" s="57"/>
      <c r="AD1302" s="57"/>
      <c r="AE1302" s="57"/>
      <c r="AF1302" s="57"/>
      <c r="AG1302" s="57"/>
      <c r="AH1302" s="57"/>
      <c r="AI1302" s="57"/>
      <c r="AJ1302" s="57"/>
      <c r="AK1302" s="57"/>
      <c r="AL1302" s="57"/>
      <c r="AM1302" s="57"/>
      <c r="AN1302" s="57"/>
      <c r="AO1302" s="57"/>
      <c r="AP1302" s="57"/>
      <c r="AQ1302" s="57"/>
      <c r="AR1302" s="57"/>
      <c r="AS1302" s="57"/>
      <c r="AT1302" s="57"/>
      <c r="AU1302" s="57"/>
      <c r="AV1302" s="57"/>
      <c r="AW1302" s="57"/>
      <c r="AX1302" s="57"/>
      <c r="AY1302" s="57"/>
      <c r="AZ1302" s="57"/>
      <c r="BA1302" s="57"/>
    </row>
    <row r="1303" spans="3:53" x14ac:dyDescent="0.25">
      <c r="C1303" s="71"/>
      <c r="K1303" s="71"/>
      <c r="L1303" s="71"/>
      <c r="M1303" s="67"/>
      <c r="W1303" s="76"/>
      <c r="X1303" s="57"/>
      <c r="Y1303" s="57"/>
      <c r="Z1303" s="57"/>
      <c r="AA1303" s="57"/>
      <c r="AB1303" s="57"/>
      <c r="AC1303" s="57"/>
      <c r="AD1303" s="57"/>
      <c r="AE1303" s="57"/>
      <c r="AF1303" s="57"/>
      <c r="AG1303" s="57"/>
      <c r="AH1303" s="57"/>
      <c r="AI1303" s="57"/>
      <c r="AJ1303" s="57"/>
      <c r="AK1303" s="57"/>
      <c r="AL1303" s="57"/>
      <c r="AM1303" s="57"/>
      <c r="AN1303" s="57"/>
      <c r="AO1303" s="57"/>
      <c r="AP1303" s="57"/>
      <c r="AQ1303" s="57"/>
      <c r="AR1303" s="57"/>
      <c r="AS1303" s="57"/>
      <c r="AT1303" s="57"/>
      <c r="AU1303" s="57"/>
      <c r="AV1303" s="57"/>
      <c r="AW1303" s="57"/>
      <c r="AX1303" s="57"/>
      <c r="AY1303" s="57"/>
      <c r="AZ1303" s="57"/>
      <c r="BA1303" s="57"/>
    </row>
    <row r="1304" spans="3:53" x14ac:dyDescent="0.25">
      <c r="C1304" s="71"/>
      <c r="K1304" s="71"/>
      <c r="L1304" s="71"/>
      <c r="M1304" s="67"/>
      <c r="W1304" s="76"/>
      <c r="X1304" s="57"/>
      <c r="Y1304" s="57"/>
      <c r="Z1304" s="57"/>
      <c r="AA1304" s="57"/>
      <c r="AB1304" s="57"/>
      <c r="AC1304" s="57"/>
      <c r="AD1304" s="57"/>
      <c r="AE1304" s="57"/>
      <c r="AF1304" s="57"/>
      <c r="AG1304" s="57"/>
      <c r="AH1304" s="57"/>
      <c r="AI1304" s="57"/>
      <c r="AJ1304" s="57"/>
      <c r="AK1304" s="57"/>
      <c r="AL1304" s="57"/>
      <c r="AM1304" s="57"/>
      <c r="AN1304" s="57"/>
      <c r="AO1304" s="57"/>
      <c r="AP1304" s="57"/>
      <c r="AQ1304" s="57"/>
      <c r="AR1304" s="57"/>
      <c r="AS1304" s="57"/>
      <c r="AT1304" s="57"/>
      <c r="AU1304" s="57"/>
      <c r="AV1304" s="57"/>
      <c r="AW1304" s="57"/>
      <c r="AX1304" s="57"/>
      <c r="AY1304" s="57"/>
      <c r="AZ1304" s="57"/>
      <c r="BA1304" s="57"/>
    </row>
    <row r="1305" spans="3:53" x14ac:dyDescent="0.25">
      <c r="C1305" s="71"/>
      <c r="K1305" s="71"/>
      <c r="L1305" s="71"/>
      <c r="M1305" s="67"/>
      <c r="W1305" s="76"/>
      <c r="X1305" s="57"/>
      <c r="Y1305" s="57"/>
      <c r="Z1305" s="57"/>
      <c r="AA1305" s="57"/>
      <c r="AB1305" s="57"/>
      <c r="AC1305" s="57"/>
      <c r="AD1305" s="57"/>
      <c r="AE1305" s="57"/>
      <c r="AF1305" s="57"/>
      <c r="AG1305" s="57"/>
      <c r="AH1305" s="57"/>
      <c r="AI1305" s="57"/>
      <c r="AJ1305" s="57"/>
      <c r="AK1305" s="57"/>
      <c r="AL1305" s="57"/>
      <c r="AM1305" s="57"/>
      <c r="AN1305" s="57"/>
      <c r="AO1305" s="57"/>
      <c r="AP1305" s="57"/>
      <c r="AQ1305" s="57"/>
      <c r="AR1305" s="57"/>
      <c r="AS1305" s="57"/>
      <c r="AT1305" s="57"/>
      <c r="AU1305" s="57"/>
      <c r="AV1305" s="57"/>
      <c r="AW1305" s="57"/>
      <c r="AX1305" s="57"/>
      <c r="AY1305" s="57"/>
      <c r="AZ1305" s="57"/>
      <c r="BA1305" s="57"/>
    </row>
    <row r="1306" spans="3:53" x14ac:dyDescent="0.25">
      <c r="C1306" s="71"/>
      <c r="K1306" s="71"/>
      <c r="L1306" s="71"/>
      <c r="M1306" s="67"/>
      <c r="W1306" s="76"/>
      <c r="X1306" s="57"/>
      <c r="Y1306" s="57"/>
      <c r="Z1306" s="57"/>
      <c r="AA1306" s="57"/>
      <c r="AB1306" s="57"/>
      <c r="AC1306" s="57"/>
      <c r="AD1306" s="57"/>
      <c r="AE1306" s="57"/>
      <c r="AF1306" s="57"/>
      <c r="AG1306" s="57"/>
      <c r="AH1306" s="57"/>
      <c r="AI1306" s="57"/>
      <c r="AJ1306" s="57"/>
      <c r="AK1306" s="57"/>
      <c r="AL1306" s="57"/>
      <c r="AM1306" s="57"/>
      <c r="AN1306" s="57"/>
      <c r="AO1306" s="57"/>
      <c r="AP1306" s="57"/>
      <c r="AQ1306" s="57"/>
      <c r="AR1306" s="57"/>
      <c r="AS1306" s="57"/>
      <c r="AT1306" s="57"/>
      <c r="AU1306" s="57"/>
      <c r="AV1306" s="57"/>
      <c r="AW1306" s="57"/>
      <c r="AX1306" s="57"/>
      <c r="AY1306" s="57"/>
      <c r="AZ1306" s="57"/>
      <c r="BA1306" s="57"/>
    </row>
    <row r="1307" spans="3:53" x14ac:dyDescent="0.25">
      <c r="C1307" s="71"/>
      <c r="K1307" s="71"/>
      <c r="L1307" s="71"/>
      <c r="M1307" s="67"/>
      <c r="W1307" s="76"/>
      <c r="X1307" s="57"/>
      <c r="Y1307" s="57"/>
      <c r="Z1307" s="57"/>
      <c r="AA1307" s="57"/>
      <c r="AB1307" s="57"/>
      <c r="AC1307" s="57"/>
      <c r="AD1307" s="57"/>
      <c r="AE1307" s="57"/>
      <c r="AF1307" s="57"/>
      <c r="AG1307" s="57"/>
      <c r="AH1307" s="57"/>
      <c r="AI1307" s="57"/>
      <c r="AJ1307" s="57"/>
      <c r="AK1307" s="57"/>
      <c r="AL1307" s="57"/>
      <c r="AM1307" s="57"/>
      <c r="AN1307" s="57"/>
      <c r="AO1307" s="57"/>
      <c r="AP1307" s="57"/>
      <c r="AQ1307" s="57"/>
      <c r="AR1307" s="57"/>
      <c r="AS1307" s="57"/>
      <c r="AT1307" s="57"/>
      <c r="AU1307" s="57"/>
      <c r="AV1307" s="57"/>
      <c r="AW1307" s="57"/>
      <c r="AX1307" s="57"/>
      <c r="AY1307" s="57"/>
      <c r="AZ1307" s="57"/>
      <c r="BA1307" s="57"/>
    </row>
    <row r="1308" spans="3:53" x14ac:dyDescent="0.25">
      <c r="C1308" s="71"/>
      <c r="K1308" s="71"/>
      <c r="L1308" s="71"/>
      <c r="M1308" s="67"/>
      <c r="W1308" s="76"/>
      <c r="X1308" s="57"/>
      <c r="Y1308" s="57"/>
      <c r="Z1308" s="57"/>
      <c r="AA1308" s="57"/>
      <c r="AB1308" s="57"/>
      <c r="AC1308" s="57"/>
      <c r="AD1308" s="57"/>
      <c r="AE1308" s="57"/>
      <c r="AF1308" s="57"/>
      <c r="AG1308" s="57"/>
      <c r="AH1308" s="57"/>
      <c r="AI1308" s="57"/>
      <c r="AJ1308" s="57"/>
      <c r="AK1308" s="57"/>
      <c r="AL1308" s="57"/>
      <c r="AM1308" s="57"/>
      <c r="AN1308" s="57"/>
      <c r="AO1308" s="57"/>
      <c r="AP1308" s="57"/>
      <c r="AQ1308" s="57"/>
      <c r="AR1308" s="57"/>
      <c r="AS1308" s="57"/>
      <c r="AT1308" s="57"/>
      <c r="AU1308" s="57"/>
      <c r="AV1308" s="57"/>
      <c r="AW1308" s="57"/>
      <c r="AX1308" s="57"/>
      <c r="AY1308" s="57"/>
      <c r="AZ1308" s="57"/>
      <c r="BA1308" s="57"/>
    </row>
    <row r="1309" spans="3:53" x14ac:dyDescent="0.25">
      <c r="C1309" s="71"/>
      <c r="K1309" s="71"/>
      <c r="L1309" s="71"/>
      <c r="M1309" s="67"/>
      <c r="W1309" s="76"/>
      <c r="X1309" s="57"/>
      <c r="Y1309" s="57"/>
      <c r="Z1309" s="57"/>
      <c r="AA1309" s="57"/>
      <c r="AB1309" s="57"/>
      <c r="AC1309" s="57"/>
      <c r="AD1309" s="57"/>
      <c r="AE1309" s="57"/>
      <c r="AF1309" s="57"/>
      <c r="AG1309" s="57"/>
      <c r="AH1309" s="57"/>
      <c r="AI1309" s="57"/>
      <c r="AJ1309" s="57"/>
      <c r="AK1309" s="57"/>
      <c r="AL1309" s="57"/>
      <c r="AM1309" s="57"/>
      <c r="AN1309" s="57"/>
      <c r="AO1309" s="57"/>
      <c r="AP1309" s="57"/>
      <c r="AQ1309" s="57"/>
      <c r="AR1309" s="57"/>
      <c r="AS1309" s="57"/>
      <c r="AT1309" s="57"/>
      <c r="AU1309" s="57"/>
      <c r="AV1309" s="57"/>
      <c r="AW1309" s="57"/>
      <c r="AX1309" s="57"/>
      <c r="AY1309" s="57"/>
      <c r="AZ1309" s="57"/>
      <c r="BA1309" s="57"/>
    </row>
    <row r="1310" spans="3:53" x14ac:dyDescent="0.25">
      <c r="C1310" s="71"/>
      <c r="K1310" s="71"/>
      <c r="L1310" s="71"/>
      <c r="M1310" s="67"/>
      <c r="W1310" s="76"/>
      <c r="X1310" s="57"/>
      <c r="Y1310" s="57"/>
      <c r="Z1310" s="57"/>
      <c r="AA1310" s="57"/>
      <c r="AB1310" s="57"/>
      <c r="AC1310" s="57"/>
      <c r="AD1310" s="57"/>
      <c r="AE1310" s="57"/>
      <c r="AF1310" s="57"/>
      <c r="AG1310" s="57"/>
      <c r="AH1310" s="57"/>
      <c r="AI1310" s="57"/>
      <c r="AJ1310" s="57"/>
      <c r="AK1310" s="57"/>
      <c r="AL1310" s="57"/>
      <c r="AM1310" s="57"/>
      <c r="AN1310" s="57"/>
      <c r="AO1310" s="57"/>
      <c r="AP1310" s="57"/>
      <c r="AQ1310" s="57"/>
      <c r="AR1310" s="57"/>
      <c r="AS1310" s="57"/>
      <c r="AT1310" s="57"/>
      <c r="AU1310" s="57"/>
      <c r="AV1310" s="57"/>
      <c r="AW1310" s="57"/>
      <c r="AX1310" s="57"/>
      <c r="AY1310" s="57"/>
      <c r="AZ1310" s="57"/>
      <c r="BA1310" s="57"/>
    </row>
    <row r="1311" spans="3:53" x14ac:dyDescent="0.25">
      <c r="C1311" s="71"/>
      <c r="K1311" s="71"/>
      <c r="L1311" s="71"/>
      <c r="M1311" s="67"/>
      <c r="W1311" s="76"/>
      <c r="X1311" s="57"/>
      <c r="Y1311" s="57"/>
      <c r="Z1311" s="57"/>
      <c r="AA1311" s="57"/>
      <c r="AB1311" s="57"/>
      <c r="AC1311" s="57"/>
      <c r="AD1311" s="57"/>
      <c r="AE1311" s="57"/>
      <c r="AF1311" s="57"/>
      <c r="AG1311" s="57"/>
      <c r="AH1311" s="57"/>
      <c r="AI1311" s="57"/>
      <c r="AJ1311" s="57"/>
      <c r="AK1311" s="57"/>
      <c r="AL1311" s="57"/>
      <c r="AM1311" s="57"/>
      <c r="AN1311" s="57"/>
      <c r="AO1311" s="57"/>
      <c r="AP1311" s="57"/>
      <c r="AQ1311" s="57"/>
      <c r="AR1311" s="57"/>
      <c r="AS1311" s="57"/>
      <c r="AT1311" s="57"/>
      <c r="AU1311" s="57"/>
      <c r="AV1311" s="57"/>
      <c r="AW1311" s="57"/>
      <c r="AX1311" s="57"/>
      <c r="AY1311" s="57"/>
      <c r="AZ1311" s="57"/>
      <c r="BA1311" s="57"/>
    </row>
    <row r="1312" spans="3:53" x14ac:dyDescent="0.25">
      <c r="C1312" s="71"/>
      <c r="K1312" s="71"/>
      <c r="L1312" s="71"/>
      <c r="M1312" s="67"/>
      <c r="W1312" s="76"/>
      <c r="X1312" s="57"/>
      <c r="Y1312" s="57"/>
      <c r="Z1312" s="57"/>
      <c r="AA1312" s="57"/>
      <c r="AB1312" s="57"/>
      <c r="AC1312" s="57"/>
      <c r="AD1312" s="57"/>
      <c r="AE1312" s="57"/>
      <c r="AF1312" s="57"/>
      <c r="AG1312" s="57"/>
      <c r="AH1312" s="57"/>
      <c r="AI1312" s="57"/>
      <c r="AJ1312" s="57"/>
      <c r="AK1312" s="57"/>
      <c r="AL1312" s="57"/>
      <c r="AM1312" s="57"/>
      <c r="AN1312" s="57"/>
      <c r="AO1312" s="57"/>
      <c r="AP1312" s="57"/>
      <c r="AQ1312" s="57"/>
      <c r="AR1312" s="57"/>
      <c r="AS1312" s="57"/>
      <c r="AT1312" s="57"/>
      <c r="AU1312" s="57"/>
      <c r="AV1312" s="57"/>
      <c r="AW1312" s="57"/>
      <c r="AX1312" s="57"/>
      <c r="AY1312" s="57"/>
      <c r="AZ1312" s="57"/>
      <c r="BA1312" s="57"/>
    </row>
    <row r="1313" spans="3:53" x14ac:dyDescent="0.25">
      <c r="C1313" s="71"/>
      <c r="K1313" s="71"/>
      <c r="L1313" s="71"/>
      <c r="M1313" s="67"/>
      <c r="W1313" s="76"/>
      <c r="X1313" s="57"/>
      <c r="Y1313" s="57"/>
      <c r="Z1313" s="57"/>
      <c r="AA1313" s="57"/>
      <c r="AB1313" s="57"/>
      <c r="AC1313" s="57"/>
      <c r="AD1313" s="57"/>
      <c r="AE1313" s="57"/>
      <c r="AF1313" s="57"/>
      <c r="AG1313" s="57"/>
      <c r="AH1313" s="57"/>
      <c r="AI1313" s="57"/>
      <c r="AJ1313" s="57"/>
      <c r="AK1313" s="57"/>
      <c r="AL1313" s="57"/>
      <c r="AM1313" s="57"/>
      <c r="AN1313" s="57"/>
      <c r="AO1313" s="57"/>
      <c r="AP1313" s="57"/>
      <c r="AQ1313" s="57"/>
      <c r="AR1313" s="57"/>
      <c r="AS1313" s="57"/>
      <c r="AT1313" s="57"/>
      <c r="AU1313" s="57"/>
      <c r="AV1313" s="57"/>
      <c r="AW1313" s="57"/>
      <c r="AX1313" s="57"/>
      <c r="AY1313" s="57"/>
      <c r="AZ1313" s="57"/>
      <c r="BA1313" s="57"/>
    </row>
    <row r="1314" spans="3:53" x14ac:dyDescent="0.25">
      <c r="C1314" s="71"/>
      <c r="K1314" s="71"/>
      <c r="L1314" s="71"/>
      <c r="M1314" s="67"/>
      <c r="W1314" s="76"/>
      <c r="X1314" s="57"/>
      <c r="Y1314" s="57"/>
      <c r="Z1314" s="57"/>
      <c r="AA1314" s="57"/>
      <c r="AB1314" s="57"/>
      <c r="AC1314" s="57"/>
      <c r="AD1314" s="57"/>
      <c r="AE1314" s="57"/>
      <c r="AF1314" s="57"/>
      <c r="AG1314" s="57"/>
      <c r="AH1314" s="57"/>
      <c r="AI1314" s="57"/>
      <c r="AJ1314" s="57"/>
      <c r="AK1314" s="57"/>
      <c r="AL1314" s="57"/>
      <c r="AM1314" s="57"/>
      <c r="AN1314" s="57"/>
      <c r="AO1314" s="57"/>
      <c r="AP1314" s="57"/>
      <c r="AQ1314" s="57"/>
      <c r="AR1314" s="57"/>
      <c r="AS1314" s="57"/>
      <c r="AT1314" s="57"/>
      <c r="AU1314" s="57"/>
      <c r="AV1314" s="57"/>
      <c r="AW1314" s="57"/>
      <c r="AX1314" s="57"/>
      <c r="AY1314" s="57"/>
      <c r="AZ1314" s="57"/>
      <c r="BA1314" s="57"/>
    </row>
    <row r="1315" spans="3:53" x14ac:dyDescent="0.25">
      <c r="C1315" s="71"/>
      <c r="K1315" s="71"/>
      <c r="L1315" s="71"/>
      <c r="M1315" s="67"/>
      <c r="W1315" s="76"/>
      <c r="X1315" s="57"/>
      <c r="Y1315" s="57"/>
      <c r="Z1315" s="57"/>
      <c r="AA1315" s="57"/>
      <c r="AB1315" s="57"/>
      <c r="AC1315" s="57"/>
      <c r="AD1315" s="57"/>
      <c r="AE1315" s="57"/>
      <c r="AF1315" s="57"/>
      <c r="AG1315" s="57"/>
      <c r="AH1315" s="57"/>
      <c r="AI1315" s="57"/>
      <c r="AJ1315" s="57"/>
      <c r="AK1315" s="57"/>
      <c r="AL1315" s="57"/>
      <c r="AM1315" s="57"/>
      <c r="AN1315" s="57"/>
      <c r="AO1315" s="57"/>
      <c r="AP1315" s="57"/>
      <c r="AQ1315" s="57"/>
      <c r="AR1315" s="57"/>
      <c r="AS1315" s="57"/>
      <c r="AT1315" s="57"/>
      <c r="AU1315" s="57"/>
      <c r="AV1315" s="57"/>
      <c r="AW1315" s="57"/>
      <c r="AX1315" s="57"/>
      <c r="AY1315" s="57"/>
      <c r="AZ1315" s="57"/>
      <c r="BA1315" s="57"/>
    </row>
    <row r="1316" spans="3:53" x14ac:dyDescent="0.25">
      <c r="C1316" s="71"/>
      <c r="K1316" s="71"/>
      <c r="L1316" s="71"/>
      <c r="M1316" s="67"/>
      <c r="W1316" s="76"/>
      <c r="X1316" s="57"/>
      <c r="Y1316" s="57"/>
      <c r="Z1316" s="57"/>
      <c r="AA1316" s="57"/>
      <c r="AB1316" s="57"/>
      <c r="AC1316" s="57"/>
      <c r="AD1316" s="57"/>
      <c r="AE1316" s="57"/>
      <c r="AF1316" s="57"/>
      <c r="AG1316" s="57"/>
      <c r="AH1316" s="57"/>
      <c r="AI1316" s="57"/>
      <c r="AJ1316" s="57"/>
      <c r="AK1316" s="57"/>
      <c r="AL1316" s="57"/>
      <c r="AM1316" s="57"/>
      <c r="AN1316" s="57"/>
      <c r="AO1316" s="57"/>
      <c r="AP1316" s="57"/>
      <c r="AQ1316" s="57"/>
      <c r="AR1316" s="57"/>
      <c r="AS1316" s="57"/>
      <c r="AT1316" s="57"/>
      <c r="AU1316" s="57"/>
      <c r="AV1316" s="57"/>
      <c r="AW1316" s="57"/>
      <c r="AX1316" s="57"/>
      <c r="AY1316" s="57"/>
      <c r="AZ1316" s="57"/>
      <c r="BA1316" s="57"/>
    </row>
    <row r="1317" spans="3:53" x14ac:dyDescent="0.25">
      <c r="C1317" s="71"/>
      <c r="K1317" s="71"/>
      <c r="L1317" s="71"/>
      <c r="M1317" s="67"/>
      <c r="W1317" s="76"/>
      <c r="X1317" s="57"/>
      <c r="Y1317" s="57"/>
      <c r="Z1317" s="57"/>
      <c r="AA1317" s="57"/>
      <c r="AB1317" s="57"/>
      <c r="AC1317" s="57"/>
      <c r="AD1317" s="57"/>
      <c r="AE1317" s="57"/>
      <c r="AF1317" s="57"/>
      <c r="AG1317" s="57"/>
      <c r="AH1317" s="57"/>
      <c r="AI1317" s="57"/>
      <c r="AJ1317" s="57"/>
      <c r="AK1317" s="57"/>
      <c r="AL1317" s="57"/>
      <c r="AM1317" s="57"/>
      <c r="AN1317" s="57"/>
      <c r="AO1317" s="57"/>
      <c r="AP1317" s="57"/>
      <c r="AQ1317" s="57"/>
      <c r="AR1317" s="57"/>
      <c r="AS1317" s="57"/>
      <c r="AT1317" s="57"/>
      <c r="AU1317" s="57"/>
      <c r="AV1317" s="57"/>
      <c r="AW1317" s="57"/>
      <c r="AX1317" s="57"/>
      <c r="AY1317" s="57"/>
      <c r="AZ1317" s="57"/>
      <c r="BA1317" s="57"/>
    </row>
    <row r="1318" spans="3:53" x14ac:dyDescent="0.25">
      <c r="C1318" s="71"/>
      <c r="K1318" s="71"/>
      <c r="L1318" s="71"/>
      <c r="M1318" s="67"/>
      <c r="W1318" s="76"/>
      <c r="X1318" s="57"/>
      <c r="Y1318" s="57"/>
      <c r="Z1318" s="57"/>
      <c r="AA1318" s="57"/>
      <c r="AB1318" s="57"/>
      <c r="AC1318" s="57"/>
      <c r="AD1318" s="57"/>
      <c r="AE1318" s="57"/>
      <c r="AF1318" s="57"/>
      <c r="AG1318" s="57"/>
      <c r="AH1318" s="57"/>
      <c r="AI1318" s="57"/>
      <c r="AJ1318" s="57"/>
      <c r="AK1318" s="57"/>
      <c r="AL1318" s="57"/>
      <c r="AM1318" s="57"/>
      <c r="AN1318" s="57"/>
      <c r="AO1318" s="57"/>
      <c r="AP1318" s="57"/>
      <c r="AQ1318" s="57"/>
      <c r="AR1318" s="57"/>
      <c r="AS1318" s="57"/>
      <c r="AT1318" s="57"/>
      <c r="AU1318" s="57"/>
      <c r="AV1318" s="57"/>
      <c r="AW1318" s="57"/>
      <c r="AX1318" s="57"/>
      <c r="AY1318" s="57"/>
      <c r="AZ1318" s="57"/>
      <c r="BA1318" s="57"/>
    </row>
    <row r="1319" spans="3:53" x14ac:dyDescent="0.25">
      <c r="C1319" s="71"/>
      <c r="K1319" s="71"/>
      <c r="L1319" s="71"/>
      <c r="M1319" s="67"/>
      <c r="W1319" s="76"/>
      <c r="X1319" s="57"/>
      <c r="Y1319" s="57"/>
      <c r="Z1319" s="57"/>
      <c r="AA1319" s="57"/>
      <c r="AB1319" s="57"/>
      <c r="AC1319" s="57"/>
      <c r="AD1319" s="57"/>
      <c r="AE1319" s="57"/>
      <c r="AF1319" s="57"/>
      <c r="AG1319" s="57"/>
      <c r="AH1319" s="57"/>
      <c r="AI1319" s="57"/>
      <c r="AJ1319" s="57"/>
      <c r="AK1319" s="57"/>
      <c r="AL1319" s="57"/>
      <c r="AM1319" s="57"/>
      <c r="AN1319" s="57"/>
      <c r="AO1319" s="57"/>
      <c r="AP1319" s="57"/>
      <c r="AQ1319" s="57"/>
      <c r="AR1319" s="57"/>
      <c r="AS1319" s="57"/>
      <c r="AT1319" s="57"/>
      <c r="AU1319" s="57"/>
      <c r="AV1319" s="57"/>
      <c r="AW1319" s="57"/>
      <c r="AX1319" s="57"/>
      <c r="AY1319" s="57"/>
      <c r="AZ1319" s="57"/>
      <c r="BA1319" s="57"/>
    </row>
    <row r="1320" spans="3:53" x14ac:dyDescent="0.25">
      <c r="C1320" s="71"/>
      <c r="K1320" s="71"/>
      <c r="L1320" s="71"/>
      <c r="M1320" s="67"/>
      <c r="W1320" s="76"/>
      <c r="X1320" s="57"/>
      <c r="Y1320" s="57"/>
      <c r="Z1320" s="57"/>
      <c r="AA1320" s="57"/>
      <c r="AB1320" s="57"/>
      <c r="AC1320" s="57"/>
      <c r="AD1320" s="57"/>
      <c r="AE1320" s="57"/>
      <c r="AF1320" s="57"/>
      <c r="AG1320" s="57"/>
      <c r="AH1320" s="57"/>
      <c r="AI1320" s="57"/>
      <c r="AJ1320" s="57"/>
      <c r="AK1320" s="57"/>
      <c r="AL1320" s="57"/>
      <c r="AM1320" s="57"/>
      <c r="AN1320" s="57"/>
      <c r="AO1320" s="57"/>
      <c r="AP1320" s="57"/>
      <c r="AQ1320" s="57"/>
      <c r="AR1320" s="57"/>
      <c r="AS1320" s="57"/>
      <c r="AT1320" s="57"/>
      <c r="AU1320" s="57"/>
      <c r="AV1320" s="57"/>
      <c r="AW1320" s="57"/>
      <c r="AX1320" s="57"/>
      <c r="AY1320" s="57"/>
      <c r="AZ1320" s="57"/>
      <c r="BA1320" s="57"/>
    </row>
    <row r="1321" spans="3:53" x14ac:dyDescent="0.25">
      <c r="C1321" s="71"/>
      <c r="K1321" s="71"/>
      <c r="L1321" s="71"/>
      <c r="M1321" s="67"/>
      <c r="W1321" s="76"/>
      <c r="X1321" s="57"/>
      <c r="Y1321" s="57"/>
      <c r="Z1321" s="57"/>
      <c r="AA1321" s="57"/>
      <c r="AB1321" s="57"/>
      <c r="AC1321" s="57"/>
      <c r="AD1321" s="57"/>
      <c r="AE1321" s="57"/>
      <c r="AF1321" s="57"/>
      <c r="AG1321" s="57"/>
      <c r="AH1321" s="57"/>
      <c r="AI1321" s="57"/>
      <c r="AJ1321" s="57"/>
      <c r="AK1321" s="57"/>
      <c r="AL1321" s="57"/>
      <c r="AM1321" s="57"/>
      <c r="AN1321" s="57"/>
      <c r="AO1321" s="57"/>
      <c r="AP1321" s="57"/>
      <c r="AQ1321" s="57"/>
      <c r="AR1321" s="57"/>
      <c r="AS1321" s="57"/>
      <c r="AT1321" s="57"/>
      <c r="AU1321" s="57"/>
      <c r="AV1321" s="57"/>
      <c r="AW1321" s="57"/>
      <c r="AX1321" s="57"/>
      <c r="AY1321" s="57"/>
      <c r="AZ1321" s="57"/>
      <c r="BA1321" s="57"/>
    </row>
    <row r="1322" spans="3:53" x14ac:dyDescent="0.25">
      <c r="C1322" s="71"/>
      <c r="K1322" s="71"/>
      <c r="L1322" s="71"/>
      <c r="M1322" s="67"/>
      <c r="W1322" s="76"/>
      <c r="X1322" s="57"/>
      <c r="Y1322" s="57"/>
      <c r="Z1322" s="57"/>
      <c r="AA1322" s="57"/>
      <c r="AB1322" s="57"/>
      <c r="AC1322" s="57"/>
      <c r="AD1322" s="57"/>
      <c r="AE1322" s="57"/>
      <c r="AF1322" s="57"/>
      <c r="AG1322" s="57"/>
      <c r="AH1322" s="57"/>
      <c r="AI1322" s="57"/>
      <c r="AJ1322" s="57"/>
      <c r="AK1322" s="57"/>
      <c r="AL1322" s="57"/>
      <c r="AM1322" s="57"/>
      <c r="AN1322" s="57"/>
      <c r="AO1322" s="57"/>
      <c r="AP1322" s="57"/>
      <c r="AQ1322" s="57"/>
      <c r="AR1322" s="57"/>
      <c r="AS1322" s="57"/>
      <c r="AT1322" s="57"/>
      <c r="AU1322" s="57"/>
      <c r="AV1322" s="57"/>
      <c r="AW1322" s="57"/>
      <c r="AX1322" s="57"/>
      <c r="AY1322" s="57"/>
      <c r="AZ1322" s="57"/>
      <c r="BA1322" s="57"/>
    </row>
    <row r="1323" spans="3:53" x14ac:dyDescent="0.25">
      <c r="C1323" s="71"/>
      <c r="K1323" s="71"/>
      <c r="L1323" s="71"/>
      <c r="M1323" s="67"/>
      <c r="W1323" s="76"/>
      <c r="X1323" s="57"/>
      <c r="Y1323" s="57"/>
      <c r="Z1323" s="57"/>
      <c r="AA1323" s="57"/>
      <c r="AB1323" s="57"/>
      <c r="AC1323" s="57"/>
      <c r="AD1323" s="57"/>
      <c r="AE1323" s="57"/>
      <c r="AF1323" s="57"/>
      <c r="AG1323" s="57"/>
      <c r="AH1323" s="57"/>
      <c r="AI1323" s="57"/>
      <c r="AJ1323" s="57"/>
      <c r="AK1323" s="57"/>
      <c r="AL1323" s="57"/>
      <c r="AM1323" s="57"/>
      <c r="AN1323" s="57"/>
      <c r="AO1323" s="57"/>
      <c r="AP1323" s="57"/>
      <c r="AQ1323" s="57"/>
      <c r="AR1323" s="57"/>
      <c r="AS1323" s="57"/>
      <c r="AT1323" s="57"/>
      <c r="AU1323" s="57"/>
      <c r="AV1323" s="57"/>
      <c r="AW1323" s="57"/>
      <c r="AX1323" s="57"/>
      <c r="AY1323" s="57"/>
      <c r="AZ1323" s="57"/>
      <c r="BA1323" s="57"/>
    </row>
    <row r="1324" spans="3:53" x14ac:dyDescent="0.25">
      <c r="C1324" s="71"/>
      <c r="K1324" s="71"/>
      <c r="L1324" s="71"/>
      <c r="M1324" s="67"/>
      <c r="W1324" s="76"/>
      <c r="X1324" s="57"/>
      <c r="Y1324" s="57"/>
      <c r="Z1324" s="57"/>
      <c r="AA1324" s="57"/>
      <c r="AB1324" s="57"/>
      <c r="AC1324" s="57"/>
      <c r="AD1324" s="57"/>
      <c r="AE1324" s="57"/>
      <c r="AF1324" s="57"/>
      <c r="AG1324" s="57"/>
      <c r="AH1324" s="57"/>
      <c r="AI1324" s="57"/>
      <c r="AJ1324" s="57"/>
      <c r="AK1324" s="57"/>
      <c r="AL1324" s="57"/>
      <c r="AM1324" s="57"/>
      <c r="AN1324" s="57"/>
      <c r="AO1324" s="57"/>
      <c r="AP1324" s="57"/>
      <c r="AQ1324" s="57"/>
      <c r="AR1324" s="57"/>
      <c r="AS1324" s="57"/>
      <c r="AT1324" s="57"/>
      <c r="AU1324" s="57"/>
      <c r="AV1324" s="57"/>
      <c r="AW1324" s="57"/>
      <c r="AX1324" s="57"/>
      <c r="AY1324" s="57"/>
      <c r="AZ1324" s="57"/>
      <c r="BA1324" s="57"/>
    </row>
    <row r="1325" spans="3:53" x14ac:dyDescent="0.25">
      <c r="C1325" s="71"/>
      <c r="K1325" s="71"/>
      <c r="L1325" s="71"/>
      <c r="M1325" s="67"/>
      <c r="W1325" s="76"/>
      <c r="X1325" s="57"/>
      <c r="Y1325" s="57"/>
      <c r="Z1325" s="57"/>
      <c r="AA1325" s="57"/>
      <c r="AB1325" s="57"/>
      <c r="AC1325" s="57"/>
      <c r="AD1325" s="57"/>
      <c r="AE1325" s="57"/>
      <c r="AF1325" s="57"/>
      <c r="AG1325" s="57"/>
      <c r="AH1325" s="57"/>
      <c r="AI1325" s="57"/>
      <c r="AJ1325" s="57"/>
      <c r="AK1325" s="57"/>
      <c r="AL1325" s="57"/>
      <c r="AM1325" s="57"/>
      <c r="AN1325" s="57"/>
      <c r="AO1325" s="57"/>
      <c r="AP1325" s="57"/>
      <c r="AQ1325" s="57"/>
      <c r="AR1325" s="57"/>
      <c r="AS1325" s="57"/>
      <c r="AT1325" s="57"/>
      <c r="AU1325" s="57"/>
      <c r="AV1325" s="57"/>
      <c r="AW1325" s="57"/>
      <c r="AX1325" s="57"/>
      <c r="AY1325" s="57"/>
      <c r="AZ1325" s="57"/>
      <c r="BA1325" s="57"/>
    </row>
    <row r="1326" spans="3:53" x14ac:dyDescent="0.25">
      <c r="C1326" s="71"/>
      <c r="K1326" s="71"/>
      <c r="L1326" s="71"/>
      <c r="M1326" s="67"/>
      <c r="W1326" s="76"/>
      <c r="X1326" s="57"/>
      <c r="Y1326" s="57"/>
      <c r="Z1326" s="57"/>
      <c r="AA1326" s="57"/>
      <c r="AB1326" s="57"/>
      <c r="AC1326" s="57"/>
      <c r="AD1326" s="57"/>
      <c r="AE1326" s="57"/>
      <c r="AF1326" s="57"/>
      <c r="AG1326" s="57"/>
      <c r="AH1326" s="57"/>
      <c r="AI1326" s="57"/>
      <c r="AJ1326" s="57"/>
      <c r="AK1326" s="57"/>
      <c r="AL1326" s="57"/>
      <c r="AM1326" s="57"/>
      <c r="AN1326" s="57"/>
      <c r="AO1326" s="57"/>
      <c r="AP1326" s="57"/>
      <c r="AQ1326" s="57"/>
      <c r="AR1326" s="57"/>
      <c r="AS1326" s="57"/>
      <c r="AT1326" s="57"/>
      <c r="AU1326" s="57"/>
      <c r="AV1326" s="57"/>
      <c r="AW1326" s="57"/>
      <c r="AX1326" s="57"/>
      <c r="AY1326" s="57"/>
      <c r="AZ1326" s="57"/>
      <c r="BA1326" s="57"/>
    </row>
    <row r="1327" spans="3:53" x14ac:dyDescent="0.25">
      <c r="C1327" s="71"/>
      <c r="K1327" s="71"/>
      <c r="L1327" s="71"/>
      <c r="M1327" s="67"/>
      <c r="W1327" s="76"/>
      <c r="X1327" s="57"/>
      <c r="Y1327" s="57"/>
      <c r="Z1327" s="57"/>
      <c r="AA1327" s="57"/>
      <c r="AB1327" s="57"/>
      <c r="AC1327" s="57"/>
      <c r="AD1327" s="57"/>
      <c r="AE1327" s="57"/>
      <c r="AF1327" s="57"/>
      <c r="AG1327" s="57"/>
      <c r="AH1327" s="57"/>
      <c r="AI1327" s="57"/>
      <c r="AJ1327" s="57"/>
      <c r="AK1327" s="57"/>
      <c r="AL1327" s="57"/>
      <c r="AM1327" s="57"/>
      <c r="AN1327" s="57"/>
      <c r="AO1327" s="57"/>
      <c r="AP1327" s="57"/>
      <c r="AQ1327" s="57"/>
      <c r="AR1327" s="57"/>
      <c r="AS1327" s="57"/>
      <c r="AT1327" s="57"/>
      <c r="AU1327" s="57"/>
      <c r="AV1327" s="57"/>
      <c r="AW1327" s="57"/>
      <c r="AX1327" s="57"/>
      <c r="AY1327" s="57"/>
      <c r="AZ1327" s="57"/>
      <c r="BA1327" s="57"/>
    </row>
    <row r="1328" spans="3:53" x14ac:dyDescent="0.25">
      <c r="C1328" s="71"/>
      <c r="K1328" s="71"/>
      <c r="L1328" s="71"/>
      <c r="M1328" s="67"/>
      <c r="W1328" s="76"/>
      <c r="X1328" s="57"/>
      <c r="Y1328" s="57"/>
      <c r="Z1328" s="57"/>
      <c r="AA1328" s="57"/>
      <c r="AB1328" s="57"/>
      <c r="AC1328" s="57"/>
      <c r="AD1328" s="57"/>
      <c r="AE1328" s="57"/>
      <c r="AF1328" s="57"/>
      <c r="AG1328" s="57"/>
      <c r="AH1328" s="57"/>
      <c r="AI1328" s="57"/>
      <c r="AJ1328" s="57"/>
      <c r="AK1328" s="57"/>
      <c r="AL1328" s="57"/>
      <c r="AM1328" s="57"/>
      <c r="AN1328" s="57"/>
      <c r="AO1328" s="57"/>
      <c r="AP1328" s="57"/>
      <c r="AQ1328" s="57"/>
      <c r="AR1328" s="57"/>
      <c r="AS1328" s="57"/>
      <c r="AT1328" s="57"/>
      <c r="AU1328" s="57"/>
      <c r="AV1328" s="57"/>
      <c r="AW1328" s="57"/>
      <c r="AX1328" s="57"/>
      <c r="AY1328" s="57"/>
      <c r="AZ1328" s="57"/>
      <c r="BA1328" s="57"/>
    </row>
    <row r="1329" spans="3:53" x14ac:dyDescent="0.25">
      <c r="C1329" s="71"/>
      <c r="K1329" s="71"/>
      <c r="L1329" s="71"/>
      <c r="M1329" s="67"/>
      <c r="W1329" s="76"/>
      <c r="X1329" s="57"/>
      <c r="Y1329" s="57"/>
      <c r="Z1329" s="57"/>
      <c r="AA1329" s="57"/>
      <c r="AB1329" s="57"/>
      <c r="AC1329" s="57"/>
      <c r="AD1329" s="57"/>
      <c r="AE1329" s="57"/>
      <c r="AF1329" s="57"/>
      <c r="AG1329" s="57"/>
      <c r="AH1329" s="57"/>
      <c r="AI1329" s="57"/>
      <c r="AJ1329" s="57"/>
      <c r="AK1329" s="57"/>
      <c r="AL1329" s="57"/>
      <c r="AM1329" s="57"/>
      <c r="AN1329" s="57"/>
      <c r="AO1329" s="57"/>
      <c r="AP1329" s="57"/>
      <c r="AQ1329" s="57"/>
      <c r="AR1329" s="57"/>
      <c r="AS1329" s="57"/>
      <c r="AT1329" s="57"/>
      <c r="AU1329" s="57"/>
      <c r="AV1329" s="57"/>
      <c r="AW1329" s="57"/>
      <c r="AX1329" s="57"/>
      <c r="AY1329" s="57"/>
      <c r="AZ1329" s="57"/>
      <c r="BA1329" s="57"/>
    </row>
    <row r="1330" spans="3:53" x14ac:dyDescent="0.25">
      <c r="C1330" s="71"/>
      <c r="K1330" s="71"/>
      <c r="L1330" s="71"/>
      <c r="M1330" s="67"/>
      <c r="W1330" s="76"/>
      <c r="X1330" s="57"/>
      <c r="Y1330" s="57"/>
      <c r="Z1330" s="57"/>
      <c r="AA1330" s="57"/>
      <c r="AB1330" s="57"/>
      <c r="AC1330" s="57"/>
      <c r="AD1330" s="57"/>
      <c r="AE1330" s="57"/>
      <c r="AF1330" s="57"/>
      <c r="AG1330" s="57"/>
      <c r="AH1330" s="57"/>
      <c r="AI1330" s="57"/>
      <c r="AJ1330" s="57"/>
      <c r="AK1330" s="57"/>
      <c r="AL1330" s="57"/>
      <c r="AM1330" s="57"/>
      <c r="AN1330" s="57"/>
      <c r="AO1330" s="57"/>
      <c r="AP1330" s="57"/>
      <c r="AQ1330" s="57"/>
      <c r="AR1330" s="57"/>
      <c r="AS1330" s="57"/>
      <c r="AT1330" s="57"/>
      <c r="AU1330" s="57"/>
      <c r="AV1330" s="57"/>
      <c r="AW1330" s="57"/>
      <c r="AX1330" s="57"/>
      <c r="AY1330" s="57"/>
      <c r="AZ1330" s="57"/>
      <c r="BA1330" s="57"/>
    </row>
    <row r="1331" spans="3:53" x14ac:dyDescent="0.25">
      <c r="C1331" s="71"/>
      <c r="K1331" s="71"/>
      <c r="L1331" s="71"/>
      <c r="M1331" s="67"/>
      <c r="W1331" s="76"/>
      <c r="X1331" s="57"/>
      <c r="Y1331" s="57"/>
      <c r="Z1331" s="57"/>
      <c r="AA1331" s="57"/>
      <c r="AB1331" s="57"/>
      <c r="AC1331" s="57"/>
      <c r="AD1331" s="57"/>
      <c r="AE1331" s="57"/>
      <c r="AF1331" s="57"/>
      <c r="AG1331" s="57"/>
      <c r="AH1331" s="57"/>
      <c r="AI1331" s="57"/>
      <c r="AJ1331" s="57"/>
      <c r="AK1331" s="57"/>
      <c r="AL1331" s="57"/>
      <c r="AM1331" s="57"/>
      <c r="AN1331" s="57"/>
      <c r="AO1331" s="57"/>
      <c r="AP1331" s="57"/>
      <c r="AQ1331" s="57"/>
      <c r="AR1331" s="57"/>
      <c r="AS1331" s="57"/>
      <c r="AT1331" s="57"/>
      <c r="AU1331" s="57"/>
      <c r="AV1331" s="57"/>
      <c r="AW1331" s="57"/>
      <c r="AX1331" s="57"/>
      <c r="AY1331" s="57"/>
      <c r="AZ1331" s="57"/>
      <c r="BA1331" s="57"/>
    </row>
    <row r="1332" spans="3:53" x14ac:dyDescent="0.25">
      <c r="C1332" s="71"/>
      <c r="K1332" s="71"/>
      <c r="L1332" s="71"/>
      <c r="M1332" s="67"/>
      <c r="W1332" s="76"/>
      <c r="X1332" s="57"/>
      <c r="Y1332" s="57"/>
      <c r="Z1332" s="57"/>
      <c r="AA1332" s="57"/>
      <c r="AB1332" s="57"/>
      <c r="AC1332" s="57"/>
      <c r="AD1332" s="57"/>
      <c r="AE1332" s="57"/>
      <c r="AF1332" s="57"/>
      <c r="AG1332" s="57"/>
      <c r="AH1332" s="57"/>
      <c r="AI1332" s="57"/>
      <c r="AJ1332" s="57"/>
      <c r="AK1332" s="57"/>
      <c r="AL1332" s="57"/>
      <c r="AM1332" s="57"/>
      <c r="AN1332" s="57"/>
      <c r="AO1332" s="57"/>
      <c r="AP1332" s="57"/>
      <c r="AQ1332" s="57"/>
      <c r="AR1332" s="57"/>
      <c r="AS1332" s="57"/>
      <c r="AT1332" s="57"/>
      <c r="AU1332" s="57"/>
      <c r="AV1332" s="57"/>
      <c r="AW1332" s="57"/>
      <c r="AX1332" s="57"/>
      <c r="AY1332" s="57"/>
      <c r="AZ1332" s="57"/>
      <c r="BA1332" s="57"/>
    </row>
    <row r="1333" spans="3:53" x14ac:dyDescent="0.25">
      <c r="C1333" s="71"/>
      <c r="K1333" s="71"/>
      <c r="L1333" s="71"/>
      <c r="M1333" s="67"/>
      <c r="W1333" s="76"/>
      <c r="X1333" s="57"/>
      <c r="Y1333" s="57"/>
      <c r="Z1333" s="57"/>
      <c r="AA1333" s="57"/>
      <c r="AB1333" s="57"/>
      <c r="AC1333" s="57"/>
      <c r="AD1333" s="57"/>
      <c r="AE1333" s="57"/>
      <c r="AF1333" s="57"/>
      <c r="AG1333" s="57"/>
      <c r="AH1333" s="57"/>
      <c r="AI1333" s="57"/>
      <c r="AJ1333" s="57"/>
      <c r="AK1333" s="57"/>
      <c r="AL1333" s="57"/>
      <c r="AM1333" s="57"/>
      <c r="AN1333" s="57"/>
      <c r="AO1333" s="57"/>
      <c r="AP1333" s="57"/>
      <c r="AQ1333" s="57"/>
      <c r="AR1333" s="57"/>
      <c r="AS1333" s="57"/>
      <c r="AT1333" s="57"/>
      <c r="AU1333" s="57"/>
      <c r="AV1333" s="57"/>
      <c r="AW1333" s="57"/>
      <c r="AX1333" s="57"/>
      <c r="AY1333" s="57"/>
      <c r="AZ1333" s="57"/>
      <c r="BA1333" s="57"/>
    </row>
    <row r="1334" spans="3:53" x14ac:dyDescent="0.25">
      <c r="C1334" s="71"/>
      <c r="K1334" s="71"/>
      <c r="L1334" s="71"/>
      <c r="M1334" s="67"/>
      <c r="W1334" s="76"/>
      <c r="X1334" s="57"/>
      <c r="Y1334" s="57"/>
      <c r="Z1334" s="57"/>
      <c r="AA1334" s="57"/>
      <c r="AB1334" s="57"/>
      <c r="AC1334" s="57"/>
      <c r="AD1334" s="57"/>
      <c r="AE1334" s="57"/>
      <c r="AF1334" s="57"/>
      <c r="AG1334" s="57"/>
      <c r="AH1334" s="57"/>
      <c r="AI1334" s="57"/>
      <c r="AJ1334" s="57"/>
      <c r="AK1334" s="57"/>
      <c r="AL1334" s="57"/>
      <c r="AM1334" s="57"/>
      <c r="AN1334" s="57"/>
      <c r="AO1334" s="57"/>
      <c r="AP1334" s="57"/>
      <c r="AQ1334" s="57"/>
      <c r="AR1334" s="57"/>
      <c r="AS1334" s="57"/>
      <c r="AT1334" s="57"/>
      <c r="AU1334" s="57"/>
      <c r="AV1334" s="57"/>
      <c r="AW1334" s="57"/>
      <c r="AX1334" s="57"/>
      <c r="AY1334" s="57"/>
      <c r="AZ1334" s="57"/>
      <c r="BA1334" s="57"/>
    </row>
    <row r="1335" spans="3:53" x14ac:dyDescent="0.25">
      <c r="C1335" s="71"/>
      <c r="K1335" s="71"/>
      <c r="L1335" s="71"/>
      <c r="M1335" s="67"/>
      <c r="W1335" s="76"/>
      <c r="X1335" s="57"/>
      <c r="Y1335" s="57"/>
      <c r="Z1335" s="57"/>
      <c r="AA1335" s="57"/>
      <c r="AB1335" s="57"/>
      <c r="AC1335" s="57"/>
      <c r="AD1335" s="57"/>
      <c r="AE1335" s="57"/>
      <c r="AF1335" s="57"/>
      <c r="AG1335" s="57"/>
      <c r="AH1335" s="57"/>
      <c r="AI1335" s="57"/>
      <c r="AJ1335" s="57"/>
      <c r="AK1335" s="57"/>
      <c r="AL1335" s="57"/>
      <c r="AM1335" s="57"/>
      <c r="AN1335" s="57"/>
      <c r="AO1335" s="57"/>
      <c r="AP1335" s="57"/>
      <c r="AQ1335" s="57"/>
      <c r="AR1335" s="57"/>
      <c r="AS1335" s="57"/>
      <c r="AT1335" s="57"/>
      <c r="AU1335" s="57"/>
      <c r="AV1335" s="57"/>
      <c r="AW1335" s="57"/>
      <c r="AX1335" s="57"/>
      <c r="AY1335" s="57"/>
      <c r="AZ1335" s="57"/>
      <c r="BA1335" s="57"/>
    </row>
    <row r="1336" spans="3:53" x14ac:dyDescent="0.25">
      <c r="C1336" s="71"/>
      <c r="K1336" s="71"/>
      <c r="L1336" s="71"/>
      <c r="M1336" s="67"/>
      <c r="W1336" s="76"/>
      <c r="X1336" s="57"/>
      <c r="Y1336" s="57"/>
      <c r="Z1336" s="57"/>
      <c r="AA1336" s="57"/>
      <c r="AB1336" s="57"/>
      <c r="AC1336" s="57"/>
      <c r="AD1336" s="57"/>
      <c r="AE1336" s="57"/>
      <c r="AF1336" s="57"/>
      <c r="AG1336" s="57"/>
      <c r="AH1336" s="57"/>
      <c r="AI1336" s="57"/>
      <c r="AJ1336" s="57"/>
      <c r="AK1336" s="57"/>
      <c r="AL1336" s="57"/>
      <c r="AM1336" s="57"/>
      <c r="AN1336" s="57"/>
      <c r="AO1336" s="57"/>
      <c r="AP1336" s="57"/>
      <c r="AQ1336" s="57"/>
      <c r="AR1336" s="57"/>
      <c r="AS1336" s="57"/>
      <c r="AT1336" s="57"/>
      <c r="AU1336" s="57"/>
      <c r="AV1336" s="57"/>
      <c r="AW1336" s="57"/>
      <c r="AX1336" s="57"/>
      <c r="AY1336" s="57"/>
      <c r="AZ1336" s="57"/>
      <c r="BA1336" s="57"/>
    </row>
    <row r="1337" spans="3:53" x14ac:dyDescent="0.25">
      <c r="C1337" s="71"/>
      <c r="K1337" s="71"/>
      <c r="L1337" s="71"/>
      <c r="M1337" s="67"/>
      <c r="W1337" s="76"/>
      <c r="X1337" s="57"/>
      <c r="Y1337" s="57"/>
      <c r="Z1337" s="57"/>
      <c r="AA1337" s="57"/>
      <c r="AB1337" s="57"/>
      <c r="AC1337" s="57"/>
      <c r="AD1337" s="57"/>
      <c r="AE1337" s="57"/>
      <c r="AF1337" s="57"/>
      <c r="AG1337" s="57"/>
      <c r="AH1337" s="57"/>
      <c r="AI1337" s="57"/>
      <c r="AJ1337" s="57"/>
      <c r="AK1337" s="57"/>
      <c r="AL1337" s="57"/>
      <c r="AM1337" s="57"/>
      <c r="AN1337" s="57"/>
      <c r="AO1337" s="57"/>
      <c r="AP1337" s="57"/>
      <c r="AQ1337" s="57"/>
      <c r="AR1337" s="57"/>
      <c r="AS1337" s="57"/>
      <c r="AT1337" s="57"/>
      <c r="AU1337" s="57"/>
      <c r="AV1337" s="57"/>
      <c r="AW1337" s="57"/>
      <c r="AX1337" s="57"/>
      <c r="AY1337" s="57"/>
      <c r="AZ1337" s="57"/>
      <c r="BA1337" s="57"/>
    </row>
    <row r="1338" spans="3:53" x14ac:dyDescent="0.25">
      <c r="C1338" s="71"/>
      <c r="K1338" s="71"/>
      <c r="L1338" s="71"/>
      <c r="M1338" s="67"/>
      <c r="W1338" s="76"/>
      <c r="X1338" s="57"/>
      <c r="Y1338" s="57"/>
      <c r="Z1338" s="57"/>
      <c r="AA1338" s="57"/>
      <c r="AB1338" s="57"/>
      <c r="AC1338" s="57"/>
      <c r="AD1338" s="57"/>
      <c r="AE1338" s="57"/>
      <c r="AF1338" s="57"/>
      <c r="AG1338" s="57"/>
      <c r="AH1338" s="57"/>
      <c r="AI1338" s="57"/>
      <c r="AJ1338" s="57"/>
      <c r="AK1338" s="57"/>
      <c r="AL1338" s="57"/>
      <c r="AM1338" s="57"/>
      <c r="AN1338" s="57"/>
      <c r="AO1338" s="57"/>
      <c r="AP1338" s="57"/>
      <c r="AQ1338" s="57"/>
      <c r="AR1338" s="57"/>
      <c r="AS1338" s="57"/>
      <c r="AT1338" s="57"/>
      <c r="AU1338" s="57"/>
      <c r="AV1338" s="57"/>
      <c r="AW1338" s="57"/>
      <c r="AX1338" s="57"/>
      <c r="AY1338" s="57"/>
      <c r="AZ1338" s="57"/>
      <c r="BA1338" s="57"/>
    </row>
    <row r="1339" spans="3:53" x14ac:dyDescent="0.25">
      <c r="C1339" s="71"/>
      <c r="K1339" s="71"/>
      <c r="L1339" s="71"/>
      <c r="M1339" s="67"/>
      <c r="W1339" s="76"/>
      <c r="X1339" s="57"/>
      <c r="Y1339" s="57"/>
      <c r="Z1339" s="57"/>
      <c r="AA1339" s="57"/>
      <c r="AB1339" s="57"/>
      <c r="AC1339" s="57"/>
      <c r="AD1339" s="57"/>
      <c r="AE1339" s="57"/>
      <c r="AF1339" s="57"/>
      <c r="AG1339" s="57"/>
      <c r="AH1339" s="57"/>
      <c r="AI1339" s="57"/>
      <c r="AJ1339" s="57"/>
      <c r="AK1339" s="57"/>
      <c r="AL1339" s="57"/>
      <c r="AM1339" s="57"/>
      <c r="AN1339" s="57"/>
      <c r="AO1339" s="57"/>
      <c r="AP1339" s="57"/>
      <c r="AQ1339" s="57"/>
      <c r="AR1339" s="57"/>
      <c r="AS1339" s="57"/>
      <c r="AT1339" s="57"/>
      <c r="AU1339" s="57"/>
      <c r="AV1339" s="57"/>
      <c r="AW1339" s="57"/>
      <c r="AX1339" s="57"/>
      <c r="AY1339" s="57"/>
      <c r="AZ1339" s="57"/>
      <c r="BA1339" s="57"/>
    </row>
    <row r="1340" spans="3:53" x14ac:dyDescent="0.25">
      <c r="C1340" s="71"/>
      <c r="K1340" s="71"/>
      <c r="L1340" s="71"/>
      <c r="M1340" s="67"/>
      <c r="W1340" s="76"/>
      <c r="X1340" s="57"/>
      <c r="Y1340" s="57"/>
      <c r="Z1340" s="57"/>
      <c r="AA1340" s="57"/>
      <c r="AB1340" s="57"/>
      <c r="AC1340" s="57"/>
      <c r="AD1340" s="57"/>
      <c r="AE1340" s="57"/>
      <c r="AF1340" s="57"/>
      <c r="AG1340" s="57"/>
      <c r="AH1340" s="57"/>
      <c r="AI1340" s="57"/>
      <c r="AJ1340" s="57"/>
      <c r="AK1340" s="57"/>
      <c r="AL1340" s="57"/>
      <c r="AM1340" s="57"/>
      <c r="AN1340" s="57"/>
      <c r="AO1340" s="57"/>
      <c r="AP1340" s="57"/>
      <c r="AQ1340" s="57"/>
      <c r="AR1340" s="57"/>
      <c r="AS1340" s="57"/>
      <c r="AT1340" s="57"/>
      <c r="AU1340" s="57"/>
      <c r="AV1340" s="57"/>
      <c r="AW1340" s="57"/>
      <c r="AX1340" s="57"/>
      <c r="AY1340" s="57"/>
      <c r="AZ1340" s="57"/>
      <c r="BA1340" s="57"/>
    </row>
    <row r="1341" spans="3:53" x14ac:dyDescent="0.25">
      <c r="C1341" s="71"/>
      <c r="K1341" s="71"/>
      <c r="L1341" s="71"/>
      <c r="M1341" s="67"/>
      <c r="W1341" s="76"/>
      <c r="X1341" s="57"/>
      <c r="Y1341" s="57"/>
      <c r="Z1341" s="57"/>
      <c r="AA1341" s="57"/>
      <c r="AB1341" s="57"/>
      <c r="AC1341" s="57"/>
      <c r="AD1341" s="57"/>
      <c r="AE1341" s="57"/>
      <c r="AF1341" s="57"/>
      <c r="AG1341" s="57"/>
      <c r="AH1341" s="57"/>
      <c r="AI1341" s="57"/>
      <c r="AJ1341" s="57"/>
      <c r="AK1341" s="57"/>
      <c r="AL1341" s="57"/>
      <c r="AM1341" s="57"/>
      <c r="AN1341" s="57"/>
      <c r="AO1341" s="57"/>
      <c r="AP1341" s="57"/>
      <c r="AQ1341" s="57"/>
      <c r="AR1341" s="57"/>
      <c r="AS1341" s="57"/>
      <c r="AT1341" s="57"/>
      <c r="AU1341" s="57"/>
      <c r="AV1341" s="57"/>
      <c r="AW1341" s="57"/>
      <c r="AX1341" s="57"/>
      <c r="AY1341" s="57"/>
      <c r="AZ1341" s="57"/>
      <c r="BA1341" s="57"/>
    </row>
    <row r="1342" spans="3:53" x14ac:dyDescent="0.25">
      <c r="C1342" s="71"/>
      <c r="K1342" s="71"/>
      <c r="L1342" s="71"/>
      <c r="M1342" s="67"/>
      <c r="W1342" s="76"/>
      <c r="X1342" s="57"/>
      <c r="Y1342" s="57"/>
      <c r="Z1342" s="57"/>
      <c r="AA1342" s="57"/>
      <c r="AB1342" s="57"/>
      <c r="AC1342" s="57"/>
      <c r="AD1342" s="57"/>
      <c r="AE1342" s="57"/>
      <c r="AF1342" s="57"/>
      <c r="AG1342" s="57"/>
      <c r="AH1342" s="57"/>
      <c r="AI1342" s="57"/>
      <c r="AJ1342" s="57"/>
      <c r="AK1342" s="57"/>
      <c r="AL1342" s="57"/>
      <c r="AM1342" s="57"/>
      <c r="AN1342" s="57"/>
      <c r="AO1342" s="57"/>
      <c r="AP1342" s="57"/>
      <c r="AQ1342" s="57"/>
      <c r="AR1342" s="57"/>
      <c r="AS1342" s="57"/>
      <c r="AT1342" s="57"/>
      <c r="AU1342" s="57"/>
      <c r="AV1342" s="57"/>
      <c r="AW1342" s="57"/>
      <c r="AX1342" s="57"/>
      <c r="AY1342" s="57"/>
      <c r="AZ1342" s="57"/>
      <c r="BA1342" s="57"/>
    </row>
    <row r="1343" spans="3:53" x14ac:dyDescent="0.25">
      <c r="C1343" s="71"/>
      <c r="K1343" s="71"/>
      <c r="L1343" s="71"/>
      <c r="M1343" s="67"/>
      <c r="W1343" s="76"/>
      <c r="X1343" s="57"/>
      <c r="Y1343" s="57"/>
      <c r="Z1343" s="57"/>
      <c r="AA1343" s="57"/>
      <c r="AB1343" s="57"/>
      <c r="AC1343" s="57"/>
      <c r="AD1343" s="57"/>
      <c r="AE1343" s="57"/>
      <c r="AF1343" s="57"/>
      <c r="AG1343" s="57"/>
      <c r="AH1343" s="57"/>
      <c r="AI1343" s="57"/>
      <c r="AJ1343" s="57"/>
      <c r="AK1343" s="57"/>
      <c r="AL1343" s="57"/>
      <c r="AM1343" s="57"/>
      <c r="AN1343" s="57"/>
      <c r="AO1343" s="57"/>
      <c r="AP1343" s="57"/>
      <c r="AQ1343" s="57"/>
      <c r="AR1343" s="57"/>
      <c r="AS1343" s="57"/>
      <c r="AT1343" s="57"/>
      <c r="AU1343" s="57"/>
      <c r="AV1343" s="57"/>
      <c r="AW1343" s="57"/>
      <c r="AX1343" s="57"/>
      <c r="AY1343" s="57"/>
      <c r="AZ1343" s="57"/>
      <c r="BA1343" s="57"/>
    </row>
    <row r="1344" spans="3:53" x14ac:dyDescent="0.25">
      <c r="C1344" s="71"/>
      <c r="K1344" s="71"/>
      <c r="L1344" s="71"/>
      <c r="M1344" s="67"/>
      <c r="W1344" s="76"/>
      <c r="X1344" s="57"/>
      <c r="Y1344" s="57"/>
      <c r="Z1344" s="57"/>
      <c r="AA1344" s="57"/>
      <c r="AB1344" s="57"/>
      <c r="AC1344" s="57"/>
      <c r="AD1344" s="57"/>
      <c r="AE1344" s="57"/>
      <c r="AF1344" s="57"/>
      <c r="AG1344" s="57"/>
      <c r="AH1344" s="57"/>
      <c r="AI1344" s="57"/>
      <c r="AJ1344" s="57"/>
      <c r="AK1344" s="57"/>
      <c r="AL1344" s="57"/>
      <c r="AM1344" s="57"/>
      <c r="AN1344" s="57"/>
      <c r="AO1344" s="57"/>
      <c r="AP1344" s="57"/>
      <c r="AQ1344" s="57"/>
      <c r="AR1344" s="57"/>
      <c r="AS1344" s="57"/>
      <c r="AT1344" s="57"/>
      <c r="AU1344" s="57"/>
      <c r="AV1344" s="57"/>
      <c r="AW1344" s="57"/>
      <c r="AX1344" s="57"/>
      <c r="AY1344" s="57"/>
      <c r="AZ1344" s="57"/>
      <c r="BA1344" s="57"/>
    </row>
    <row r="1345" spans="3:53" x14ac:dyDescent="0.25">
      <c r="C1345" s="71"/>
      <c r="K1345" s="71"/>
      <c r="L1345" s="71"/>
      <c r="M1345" s="67"/>
      <c r="W1345" s="76"/>
      <c r="X1345" s="57"/>
      <c r="Y1345" s="57"/>
      <c r="Z1345" s="57"/>
      <c r="AA1345" s="57"/>
      <c r="AB1345" s="57"/>
      <c r="AC1345" s="57"/>
      <c r="AD1345" s="57"/>
      <c r="AE1345" s="57"/>
      <c r="AF1345" s="57"/>
      <c r="AG1345" s="57"/>
      <c r="AH1345" s="57"/>
      <c r="AI1345" s="57"/>
      <c r="AJ1345" s="57"/>
      <c r="AK1345" s="57"/>
      <c r="AL1345" s="57"/>
      <c r="AM1345" s="57"/>
      <c r="AN1345" s="57"/>
      <c r="AO1345" s="57"/>
      <c r="AP1345" s="57"/>
      <c r="AQ1345" s="57"/>
      <c r="AR1345" s="57"/>
      <c r="AS1345" s="57"/>
      <c r="AT1345" s="57"/>
      <c r="AU1345" s="57"/>
      <c r="AV1345" s="57"/>
      <c r="AW1345" s="57"/>
      <c r="AX1345" s="57"/>
      <c r="AY1345" s="57"/>
      <c r="AZ1345" s="57"/>
      <c r="BA1345" s="57"/>
    </row>
    <row r="1346" spans="3:53" x14ac:dyDescent="0.25">
      <c r="C1346" s="71"/>
      <c r="K1346" s="71"/>
      <c r="L1346" s="71"/>
      <c r="M1346" s="67"/>
      <c r="W1346" s="76"/>
      <c r="X1346" s="57"/>
      <c r="Y1346" s="57"/>
      <c r="Z1346" s="57"/>
      <c r="AA1346" s="57"/>
      <c r="AB1346" s="57"/>
      <c r="AC1346" s="57"/>
      <c r="AD1346" s="57"/>
      <c r="AE1346" s="57"/>
      <c r="AF1346" s="57"/>
      <c r="AG1346" s="57"/>
      <c r="AH1346" s="57"/>
      <c r="AI1346" s="57"/>
      <c r="AJ1346" s="57"/>
      <c r="AK1346" s="57"/>
      <c r="AL1346" s="57"/>
      <c r="AM1346" s="57"/>
      <c r="AN1346" s="57"/>
      <c r="AO1346" s="57"/>
      <c r="AP1346" s="57"/>
      <c r="AQ1346" s="57"/>
      <c r="AR1346" s="57"/>
      <c r="AS1346" s="57"/>
      <c r="AT1346" s="57"/>
      <c r="AU1346" s="57"/>
      <c r="AV1346" s="57"/>
      <c r="AW1346" s="57"/>
      <c r="AX1346" s="57"/>
      <c r="AY1346" s="57"/>
      <c r="AZ1346" s="57"/>
      <c r="BA1346" s="57"/>
    </row>
    <row r="1347" spans="3:53" x14ac:dyDescent="0.25">
      <c r="C1347" s="71"/>
      <c r="K1347" s="71"/>
      <c r="L1347" s="71"/>
      <c r="M1347" s="67"/>
      <c r="W1347" s="76"/>
      <c r="X1347" s="57"/>
      <c r="Y1347" s="57"/>
      <c r="Z1347" s="57"/>
      <c r="AA1347" s="57"/>
      <c r="AB1347" s="57"/>
      <c r="AC1347" s="57"/>
      <c r="AD1347" s="57"/>
      <c r="AE1347" s="57"/>
      <c r="AF1347" s="57"/>
      <c r="AG1347" s="57"/>
      <c r="AH1347" s="57"/>
      <c r="AI1347" s="57"/>
      <c r="AJ1347" s="57"/>
      <c r="AK1347" s="57"/>
      <c r="AL1347" s="57"/>
      <c r="AM1347" s="57"/>
      <c r="AN1347" s="57"/>
      <c r="AO1347" s="57"/>
      <c r="AP1347" s="57"/>
      <c r="AQ1347" s="57"/>
      <c r="AR1347" s="57"/>
      <c r="AS1347" s="57"/>
      <c r="AT1347" s="57"/>
      <c r="AU1347" s="57"/>
      <c r="AV1347" s="57"/>
      <c r="AW1347" s="57"/>
      <c r="AX1347" s="57"/>
      <c r="AY1347" s="57"/>
      <c r="AZ1347" s="57"/>
      <c r="BA1347" s="57"/>
    </row>
    <row r="1348" spans="3:53" x14ac:dyDescent="0.25">
      <c r="C1348" s="71"/>
      <c r="K1348" s="71"/>
      <c r="L1348" s="71"/>
      <c r="M1348" s="67"/>
      <c r="W1348" s="76"/>
      <c r="X1348" s="57"/>
      <c r="Y1348" s="57"/>
      <c r="Z1348" s="57"/>
      <c r="AA1348" s="57"/>
      <c r="AB1348" s="57"/>
      <c r="AC1348" s="57"/>
      <c r="AD1348" s="57"/>
      <c r="AE1348" s="57"/>
      <c r="AF1348" s="57"/>
      <c r="AG1348" s="57"/>
      <c r="AH1348" s="57"/>
      <c r="AI1348" s="57"/>
      <c r="AJ1348" s="57"/>
      <c r="AK1348" s="57"/>
      <c r="AL1348" s="57"/>
      <c r="AM1348" s="57"/>
      <c r="AN1348" s="57"/>
      <c r="AO1348" s="57"/>
      <c r="AP1348" s="57"/>
      <c r="AQ1348" s="57"/>
      <c r="AR1348" s="57"/>
      <c r="AS1348" s="57"/>
      <c r="AT1348" s="57"/>
      <c r="AU1348" s="57"/>
      <c r="AV1348" s="57"/>
      <c r="AW1348" s="57"/>
      <c r="AX1348" s="57"/>
      <c r="AY1348" s="57"/>
      <c r="AZ1348" s="57"/>
      <c r="BA1348" s="57"/>
    </row>
    <row r="1349" spans="3:53" x14ac:dyDescent="0.25">
      <c r="C1349" s="71"/>
      <c r="K1349" s="71"/>
      <c r="L1349" s="71"/>
      <c r="M1349" s="67"/>
      <c r="W1349" s="76"/>
      <c r="X1349" s="57"/>
      <c r="Y1349" s="57"/>
      <c r="Z1349" s="57"/>
      <c r="AA1349" s="57"/>
      <c r="AB1349" s="57"/>
      <c r="AC1349" s="57"/>
      <c r="AD1349" s="57"/>
      <c r="AE1349" s="57"/>
      <c r="AF1349" s="57"/>
      <c r="AG1349" s="57"/>
      <c r="AH1349" s="57"/>
      <c r="AI1349" s="57"/>
      <c r="AJ1349" s="57"/>
      <c r="AK1349" s="57"/>
      <c r="AL1349" s="57"/>
      <c r="AM1349" s="57"/>
      <c r="AN1349" s="57"/>
      <c r="AO1349" s="57"/>
      <c r="AP1349" s="57"/>
      <c r="AQ1349" s="57"/>
      <c r="AR1349" s="57"/>
      <c r="AS1349" s="57"/>
      <c r="AT1349" s="57"/>
      <c r="AU1349" s="57"/>
      <c r="AV1349" s="57"/>
      <c r="AW1349" s="57"/>
      <c r="AX1349" s="57"/>
      <c r="AY1349" s="57"/>
      <c r="AZ1349" s="57"/>
      <c r="BA1349" s="57"/>
    </row>
    <row r="1350" spans="3:53" x14ac:dyDescent="0.25">
      <c r="C1350" s="71"/>
      <c r="K1350" s="71"/>
      <c r="L1350" s="71"/>
      <c r="M1350" s="67"/>
      <c r="W1350" s="76"/>
      <c r="X1350" s="57"/>
      <c r="Y1350" s="57"/>
      <c r="Z1350" s="57"/>
      <c r="AA1350" s="57"/>
      <c r="AB1350" s="57"/>
      <c r="AC1350" s="57"/>
      <c r="AD1350" s="57"/>
      <c r="AE1350" s="57"/>
      <c r="AF1350" s="57"/>
      <c r="AG1350" s="57"/>
      <c r="AH1350" s="57"/>
      <c r="AI1350" s="57"/>
      <c r="AJ1350" s="57"/>
      <c r="AK1350" s="57"/>
      <c r="AL1350" s="57"/>
      <c r="AM1350" s="57"/>
      <c r="AN1350" s="57"/>
      <c r="AO1350" s="57"/>
      <c r="AP1350" s="57"/>
      <c r="AQ1350" s="57"/>
      <c r="AR1350" s="57"/>
      <c r="AS1350" s="57"/>
      <c r="AT1350" s="57"/>
      <c r="AU1350" s="57"/>
      <c r="AV1350" s="57"/>
      <c r="AW1350" s="57"/>
      <c r="AX1350" s="57"/>
      <c r="AY1350" s="57"/>
      <c r="AZ1350" s="57"/>
      <c r="BA1350" s="57"/>
    </row>
    <row r="1351" spans="3:53" x14ac:dyDescent="0.25">
      <c r="C1351" s="71"/>
      <c r="K1351" s="71"/>
      <c r="L1351" s="71"/>
      <c r="M1351" s="67"/>
      <c r="W1351" s="76"/>
      <c r="X1351" s="57"/>
      <c r="Y1351" s="57"/>
      <c r="Z1351" s="57"/>
      <c r="AA1351" s="57"/>
      <c r="AB1351" s="57"/>
      <c r="AC1351" s="57"/>
      <c r="AD1351" s="57"/>
      <c r="AE1351" s="57"/>
      <c r="AF1351" s="57"/>
      <c r="AG1351" s="57"/>
      <c r="AH1351" s="57"/>
      <c r="AI1351" s="57"/>
      <c r="AJ1351" s="57"/>
      <c r="AK1351" s="57"/>
      <c r="AL1351" s="57"/>
      <c r="AM1351" s="57"/>
      <c r="AN1351" s="57"/>
      <c r="AO1351" s="57"/>
      <c r="AP1351" s="57"/>
      <c r="AQ1351" s="57"/>
      <c r="AR1351" s="57"/>
      <c r="AS1351" s="57"/>
      <c r="AT1351" s="57"/>
      <c r="AU1351" s="57"/>
      <c r="AV1351" s="57"/>
      <c r="AW1351" s="57"/>
      <c r="AX1351" s="57"/>
      <c r="AY1351" s="57"/>
      <c r="AZ1351" s="57"/>
      <c r="BA1351" s="57"/>
    </row>
    <row r="1352" spans="3:53" x14ac:dyDescent="0.25">
      <c r="C1352" s="71"/>
      <c r="K1352" s="71"/>
      <c r="L1352" s="71"/>
      <c r="M1352" s="67"/>
      <c r="W1352" s="76"/>
      <c r="X1352" s="57"/>
      <c r="Y1352" s="57"/>
      <c r="Z1352" s="57"/>
      <c r="AA1352" s="57"/>
      <c r="AB1352" s="57"/>
      <c r="AC1352" s="57"/>
      <c r="AD1352" s="57"/>
      <c r="AE1352" s="57"/>
      <c r="AF1352" s="57"/>
      <c r="AG1352" s="57"/>
      <c r="AH1352" s="57"/>
      <c r="AI1352" s="57"/>
      <c r="AJ1352" s="57"/>
      <c r="AK1352" s="57"/>
      <c r="AL1352" s="57"/>
      <c r="AM1352" s="57"/>
      <c r="AN1352" s="57"/>
      <c r="AO1352" s="57"/>
      <c r="AP1352" s="57"/>
      <c r="AQ1352" s="57"/>
      <c r="AR1352" s="57"/>
      <c r="AS1352" s="57"/>
      <c r="AT1352" s="57"/>
      <c r="AU1352" s="57"/>
      <c r="AV1352" s="57"/>
      <c r="AW1352" s="57"/>
      <c r="AX1352" s="57"/>
      <c r="AY1352" s="57"/>
      <c r="AZ1352" s="57"/>
      <c r="BA1352" s="57"/>
    </row>
    <row r="1353" spans="3:53" x14ac:dyDescent="0.25">
      <c r="C1353" s="71"/>
      <c r="K1353" s="71"/>
      <c r="L1353" s="71"/>
      <c r="M1353" s="67"/>
      <c r="W1353" s="76"/>
      <c r="X1353" s="57"/>
      <c r="Y1353" s="57"/>
      <c r="Z1353" s="57"/>
      <c r="AA1353" s="57"/>
      <c r="AB1353" s="57"/>
      <c r="AC1353" s="57"/>
      <c r="AD1353" s="57"/>
      <c r="AE1353" s="57"/>
      <c r="AF1353" s="57"/>
      <c r="AG1353" s="57"/>
      <c r="AH1353" s="57"/>
      <c r="AI1353" s="57"/>
      <c r="AJ1353" s="57"/>
      <c r="AK1353" s="57"/>
      <c r="AL1353" s="57"/>
      <c r="AM1353" s="57"/>
      <c r="AN1353" s="57"/>
      <c r="AO1353" s="57"/>
      <c r="AP1353" s="57"/>
      <c r="AQ1353" s="57"/>
      <c r="AR1353" s="57"/>
      <c r="AS1353" s="57"/>
      <c r="AT1353" s="57"/>
      <c r="AU1353" s="57"/>
      <c r="AV1353" s="57"/>
      <c r="AW1353" s="57"/>
      <c r="AX1353" s="57"/>
      <c r="AY1353" s="57"/>
      <c r="AZ1353" s="57"/>
      <c r="BA1353" s="57"/>
    </row>
    <row r="1354" spans="3:53" x14ac:dyDescent="0.25">
      <c r="C1354" s="71"/>
      <c r="K1354" s="71"/>
      <c r="L1354" s="71"/>
      <c r="M1354" s="67"/>
      <c r="W1354" s="76"/>
      <c r="X1354" s="57"/>
      <c r="Y1354" s="57"/>
      <c r="Z1354" s="57"/>
      <c r="AA1354" s="57"/>
      <c r="AB1354" s="57"/>
      <c r="AC1354" s="57"/>
      <c r="AD1354" s="57"/>
      <c r="AE1354" s="57"/>
      <c r="AF1354" s="57"/>
      <c r="AG1354" s="57"/>
      <c r="AH1354" s="57"/>
      <c r="AI1354" s="57"/>
      <c r="AJ1354" s="57"/>
      <c r="AK1354" s="57"/>
      <c r="AL1354" s="57"/>
      <c r="AM1354" s="57"/>
      <c r="AN1354" s="57"/>
      <c r="AO1354" s="57"/>
      <c r="AP1354" s="57"/>
      <c r="AQ1354" s="57"/>
      <c r="AR1354" s="57"/>
      <c r="AS1354" s="57"/>
      <c r="AT1354" s="57"/>
      <c r="AU1354" s="57"/>
      <c r="AV1354" s="57"/>
      <c r="AW1354" s="57"/>
      <c r="AX1354" s="57"/>
      <c r="AY1354" s="57"/>
      <c r="AZ1354" s="57"/>
      <c r="BA1354" s="57"/>
    </row>
    <row r="1355" spans="3:53" x14ac:dyDescent="0.25">
      <c r="C1355" s="71"/>
      <c r="K1355" s="71"/>
      <c r="L1355" s="71"/>
      <c r="M1355" s="67"/>
      <c r="W1355" s="76"/>
      <c r="X1355" s="57"/>
      <c r="Y1355" s="57"/>
      <c r="Z1355" s="57"/>
      <c r="AA1355" s="57"/>
      <c r="AB1355" s="57"/>
      <c r="AC1355" s="57"/>
      <c r="AD1355" s="57"/>
      <c r="AE1355" s="57"/>
      <c r="AF1355" s="57"/>
      <c r="AG1355" s="57"/>
      <c r="AH1355" s="57"/>
      <c r="AI1355" s="57"/>
      <c r="AJ1355" s="57"/>
      <c r="AK1355" s="57"/>
      <c r="AL1355" s="57"/>
      <c r="AM1355" s="57"/>
      <c r="AN1355" s="57"/>
      <c r="AO1355" s="57"/>
      <c r="AP1355" s="57"/>
      <c r="AQ1355" s="57"/>
      <c r="AR1355" s="57"/>
      <c r="AS1355" s="57"/>
      <c r="AT1355" s="57"/>
      <c r="AU1355" s="57"/>
      <c r="AV1355" s="57"/>
      <c r="AW1355" s="57"/>
      <c r="AX1355" s="57"/>
      <c r="AY1355" s="57"/>
      <c r="AZ1355" s="57"/>
      <c r="BA1355" s="57"/>
    </row>
    <row r="1356" spans="3:53" x14ac:dyDescent="0.25">
      <c r="C1356" s="71"/>
      <c r="K1356" s="71"/>
      <c r="L1356" s="71"/>
      <c r="M1356" s="67"/>
      <c r="W1356" s="76"/>
      <c r="X1356" s="57"/>
      <c r="Y1356" s="57"/>
      <c r="Z1356" s="57"/>
      <c r="AA1356" s="57"/>
      <c r="AB1356" s="57"/>
      <c r="AC1356" s="57"/>
      <c r="AD1356" s="57"/>
      <c r="AE1356" s="57"/>
      <c r="AF1356" s="57"/>
      <c r="AG1356" s="57"/>
      <c r="AH1356" s="57"/>
      <c r="AI1356" s="57"/>
      <c r="AJ1356" s="57"/>
      <c r="AK1356" s="57"/>
      <c r="AL1356" s="57"/>
      <c r="AM1356" s="57"/>
      <c r="AN1356" s="57"/>
      <c r="AO1356" s="57"/>
      <c r="AP1356" s="57"/>
      <c r="AQ1356" s="57"/>
      <c r="AR1356" s="57"/>
      <c r="AS1356" s="57"/>
      <c r="AT1356" s="57"/>
      <c r="AU1356" s="57"/>
      <c r="AV1356" s="57"/>
      <c r="AW1356" s="57"/>
      <c r="AX1356" s="57"/>
      <c r="AY1356" s="57"/>
      <c r="AZ1356" s="57"/>
      <c r="BA1356" s="57"/>
    </row>
    <row r="1357" spans="3:53" x14ac:dyDescent="0.25">
      <c r="C1357" s="71"/>
      <c r="K1357" s="71"/>
      <c r="L1357" s="71"/>
      <c r="M1357" s="67"/>
      <c r="W1357" s="76"/>
      <c r="X1357" s="57"/>
      <c r="Y1357" s="57"/>
      <c r="Z1357" s="57"/>
      <c r="AA1357" s="57"/>
      <c r="AB1357" s="57"/>
      <c r="AC1357" s="57"/>
      <c r="AD1357" s="57"/>
      <c r="AE1357" s="57"/>
      <c r="AF1357" s="57"/>
      <c r="AG1357" s="57"/>
      <c r="AH1357" s="57"/>
      <c r="AI1357" s="57"/>
      <c r="AJ1357" s="57"/>
      <c r="AK1357" s="57"/>
      <c r="AL1357" s="57"/>
      <c r="AM1357" s="57"/>
      <c r="AN1357" s="57"/>
      <c r="AO1357" s="57"/>
      <c r="AP1357" s="57"/>
      <c r="AQ1357" s="57"/>
      <c r="AR1357" s="57"/>
      <c r="AS1357" s="57"/>
      <c r="AT1357" s="57"/>
      <c r="AU1357" s="57"/>
      <c r="AV1357" s="57"/>
      <c r="AW1357" s="57"/>
      <c r="AX1357" s="57"/>
      <c r="AY1357" s="57"/>
      <c r="AZ1357" s="57"/>
      <c r="BA1357" s="57"/>
    </row>
    <row r="1358" spans="3:53" x14ac:dyDescent="0.25">
      <c r="C1358" s="71"/>
      <c r="K1358" s="71"/>
      <c r="L1358" s="71"/>
      <c r="M1358" s="67"/>
      <c r="W1358" s="76"/>
      <c r="X1358" s="57"/>
      <c r="Y1358" s="57"/>
      <c r="Z1358" s="57"/>
      <c r="AA1358" s="57"/>
      <c r="AB1358" s="57"/>
      <c r="AC1358" s="57"/>
      <c r="AD1358" s="57"/>
      <c r="AE1358" s="57"/>
      <c r="AF1358" s="57"/>
      <c r="AG1358" s="57"/>
      <c r="AH1358" s="57"/>
      <c r="AI1358" s="57"/>
      <c r="AJ1358" s="57"/>
      <c r="AK1358" s="57"/>
      <c r="AL1358" s="57"/>
      <c r="AM1358" s="57"/>
      <c r="AN1358" s="57"/>
      <c r="AO1358" s="57"/>
      <c r="AP1358" s="57"/>
      <c r="AQ1358" s="57"/>
      <c r="AR1358" s="57"/>
      <c r="AS1358" s="57"/>
      <c r="AT1358" s="57"/>
      <c r="AU1358" s="57"/>
      <c r="AV1358" s="57"/>
      <c r="AW1358" s="57"/>
      <c r="AX1358" s="57"/>
      <c r="AY1358" s="57"/>
      <c r="AZ1358" s="57"/>
      <c r="BA1358" s="57"/>
    </row>
    <row r="1359" spans="3:53" x14ac:dyDescent="0.25">
      <c r="C1359" s="71"/>
      <c r="K1359" s="71"/>
      <c r="L1359" s="71"/>
      <c r="M1359" s="67"/>
      <c r="W1359" s="76"/>
      <c r="X1359" s="57"/>
      <c r="Y1359" s="57"/>
      <c r="Z1359" s="57"/>
      <c r="AA1359" s="57"/>
      <c r="AB1359" s="57"/>
      <c r="AC1359" s="57"/>
      <c r="AD1359" s="57"/>
      <c r="AE1359" s="57"/>
      <c r="AF1359" s="57"/>
      <c r="AG1359" s="57"/>
      <c r="AH1359" s="57"/>
      <c r="AI1359" s="57"/>
      <c r="AJ1359" s="57"/>
      <c r="AK1359" s="57"/>
      <c r="AL1359" s="57"/>
      <c r="AM1359" s="57"/>
      <c r="AN1359" s="57"/>
      <c r="AO1359" s="57"/>
      <c r="AP1359" s="57"/>
      <c r="AQ1359" s="57"/>
      <c r="AR1359" s="57"/>
      <c r="AS1359" s="57"/>
      <c r="AT1359" s="57"/>
      <c r="AU1359" s="57"/>
      <c r="AV1359" s="57"/>
      <c r="AW1359" s="57"/>
      <c r="AX1359" s="57"/>
      <c r="AY1359" s="57"/>
      <c r="AZ1359" s="57"/>
      <c r="BA1359" s="57"/>
    </row>
    <row r="1360" spans="3:53" x14ac:dyDescent="0.25">
      <c r="C1360" s="71"/>
      <c r="K1360" s="71"/>
      <c r="L1360" s="71"/>
      <c r="M1360" s="67"/>
      <c r="W1360" s="76"/>
      <c r="X1360" s="57"/>
      <c r="Y1360" s="57"/>
      <c r="Z1360" s="57"/>
      <c r="AA1360" s="57"/>
      <c r="AB1360" s="57"/>
      <c r="AC1360" s="57"/>
      <c r="AD1360" s="57"/>
      <c r="AE1360" s="57"/>
      <c r="AF1360" s="57"/>
      <c r="AG1360" s="57"/>
      <c r="AH1360" s="57"/>
      <c r="AI1360" s="57"/>
      <c r="AJ1360" s="57"/>
      <c r="AK1360" s="57"/>
      <c r="AL1360" s="57"/>
      <c r="AM1360" s="57"/>
      <c r="AN1360" s="57"/>
      <c r="AO1360" s="57"/>
      <c r="AP1360" s="57"/>
      <c r="AQ1360" s="57"/>
      <c r="AR1360" s="57"/>
      <c r="AS1360" s="57"/>
      <c r="AT1360" s="57"/>
      <c r="AU1360" s="57"/>
      <c r="AV1360" s="57"/>
      <c r="AW1360" s="57"/>
      <c r="AX1360" s="57"/>
      <c r="AY1360" s="57"/>
      <c r="AZ1360" s="57"/>
      <c r="BA1360" s="57"/>
    </row>
    <row r="1361" spans="3:53" x14ac:dyDescent="0.25">
      <c r="C1361" s="71"/>
      <c r="K1361" s="71"/>
      <c r="L1361" s="71"/>
      <c r="M1361" s="67"/>
      <c r="W1361" s="76"/>
      <c r="X1361" s="57"/>
      <c r="Y1361" s="57"/>
      <c r="Z1361" s="57"/>
      <c r="AA1361" s="57"/>
      <c r="AB1361" s="57"/>
      <c r="AC1361" s="57"/>
      <c r="AD1361" s="57"/>
      <c r="AE1361" s="57"/>
      <c r="AF1361" s="57"/>
      <c r="AG1361" s="57"/>
      <c r="AH1361" s="57"/>
      <c r="AI1361" s="57"/>
      <c r="AJ1361" s="57"/>
      <c r="AK1361" s="57"/>
      <c r="AL1361" s="57"/>
      <c r="AM1361" s="57"/>
      <c r="AN1361" s="57"/>
      <c r="AO1361" s="57"/>
      <c r="AP1361" s="57"/>
      <c r="AQ1361" s="57"/>
      <c r="AR1361" s="57"/>
      <c r="AS1361" s="57"/>
      <c r="AT1361" s="57"/>
      <c r="AU1361" s="57"/>
      <c r="AV1361" s="57"/>
      <c r="AW1361" s="57"/>
      <c r="AX1361" s="57"/>
      <c r="AY1361" s="57"/>
      <c r="AZ1361" s="57"/>
      <c r="BA1361" s="57"/>
    </row>
    <row r="1362" spans="3:53" x14ac:dyDescent="0.25">
      <c r="C1362" s="71"/>
      <c r="K1362" s="71"/>
      <c r="L1362" s="71"/>
      <c r="M1362" s="67"/>
      <c r="W1362" s="76"/>
      <c r="X1362" s="57"/>
      <c r="Y1362" s="57"/>
      <c r="Z1362" s="57"/>
      <c r="AA1362" s="57"/>
      <c r="AB1362" s="57"/>
      <c r="AC1362" s="57"/>
      <c r="AD1362" s="57"/>
      <c r="AE1362" s="57"/>
      <c r="AF1362" s="57"/>
      <c r="AG1362" s="57"/>
      <c r="AH1362" s="57"/>
      <c r="AI1362" s="57"/>
      <c r="AJ1362" s="57"/>
      <c r="AK1362" s="57"/>
      <c r="AL1362" s="57"/>
      <c r="AM1362" s="57"/>
      <c r="AN1362" s="57"/>
      <c r="AO1362" s="57"/>
      <c r="AP1362" s="57"/>
      <c r="AQ1362" s="57"/>
      <c r="AR1362" s="57"/>
      <c r="AS1362" s="57"/>
      <c r="AT1362" s="57"/>
      <c r="AU1362" s="57"/>
      <c r="AV1362" s="57"/>
      <c r="AW1362" s="57"/>
      <c r="AX1362" s="57"/>
      <c r="AY1362" s="57"/>
      <c r="AZ1362" s="57"/>
      <c r="BA1362" s="57"/>
    </row>
    <row r="1363" spans="3:53" x14ac:dyDescent="0.25">
      <c r="C1363" s="71"/>
      <c r="K1363" s="71"/>
      <c r="L1363" s="71"/>
      <c r="M1363" s="67"/>
      <c r="W1363" s="76"/>
      <c r="X1363" s="57"/>
      <c r="Y1363" s="57"/>
      <c r="Z1363" s="57"/>
      <c r="AA1363" s="57"/>
      <c r="AB1363" s="57"/>
      <c r="AC1363" s="57"/>
      <c r="AD1363" s="57"/>
      <c r="AE1363" s="57"/>
      <c r="AF1363" s="57"/>
      <c r="AG1363" s="57"/>
      <c r="AH1363" s="57"/>
      <c r="AI1363" s="57"/>
      <c r="AJ1363" s="57"/>
      <c r="AK1363" s="57"/>
      <c r="AL1363" s="57"/>
      <c r="AM1363" s="57"/>
      <c r="AN1363" s="57"/>
      <c r="AO1363" s="57"/>
      <c r="AP1363" s="57"/>
      <c r="AQ1363" s="57"/>
      <c r="AR1363" s="57"/>
      <c r="AS1363" s="57"/>
      <c r="AT1363" s="57"/>
      <c r="AU1363" s="57"/>
      <c r="AV1363" s="57"/>
      <c r="AW1363" s="57"/>
      <c r="AX1363" s="57"/>
      <c r="AY1363" s="57"/>
      <c r="AZ1363" s="57"/>
      <c r="BA1363" s="57"/>
    </row>
    <row r="1364" spans="3:53" x14ac:dyDescent="0.25">
      <c r="C1364" s="71"/>
      <c r="K1364" s="71"/>
      <c r="L1364" s="71"/>
      <c r="M1364" s="67"/>
      <c r="W1364" s="76"/>
      <c r="X1364" s="57"/>
      <c r="Y1364" s="57"/>
      <c r="Z1364" s="57"/>
      <c r="AA1364" s="57"/>
      <c r="AB1364" s="57"/>
      <c r="AC1364" s="57"/>
      <c r="AD1364" s="57"/>
      <c r="AE1364" s="57"/>
      <c r="AF1364" s="57"/>
      <c r="AG1364" s="57"/>
      <c r="AH1364" s="57"/>
      <c r="AI1364" s="57"/>
      <c r="AJ1364" s="57"/>
      <c r="AK1364" s="57"/>
      <c r="AL1364" s="57"/>
      <c r="AM1364" s="57"/>
      <c r="AN1364" s="57"/>
      <c r="AO1364" s="57"/>
      <c r="AP1364" s="57"/>
      <c r="AQ1364" s="57"/>
      <c r="AR1364" s="57"/>
      <c r="AS1364" s="57"/>
      <c r="AT1364" s="57"/>
      <c r="AU1364" s="57"/>
      <c r="AV1364" s="57"/>
      <c r="AW1364" s="57"/>
      <c r="AX1364" s="57"/>
      <c r="AY1364" s="57"/>
      <c r="AZ1364" s="57"/>
      <c r="BA1364" s="57"/>
    </row>
    <row r="1365" spans="3:53" x14ac:dyDescent="0.25">
      <c r="C1365" s="71"/>
      <c r="K1365" s="71"/>
      <c r="L1365" s="71"/>
      <c r="M1365" s="67"/>
      <c r="W1365" s="76"/>
      <c r="X1365" s="57"/>
      <c r="Y1365" s="57"/>
      <c r="Z1365" s="57"/>
      <c r="AA1365" s="57"/>
      <c r="AB1365" s="57"/>
      <c r="AC1365" s="57"/>
      <c r="AD1365" s="57"/>
      <c r="AE1365" s="57"/>
      <c r="AF1365" s="57"/>
      <c r="AG1365" s="57"/>
      <c r="AH1365" s="57"/>
      <c r="AI1365" s="57"/>
      <c r="AJ1365" s="57"/>
      <c r="AK1365" s="57"/>
      <c r="AL1365" s="57"/>
      <c r="AM1365" s="57"/>
      <c r="AN1365" s="57"/>
      <c r="AO1365" s="57"/>
      <c r="AP1365" s="57"/>
      <c r="AQ1365" s="57"/>
      <c r="AR1365" s="57"/>
      <c r="AS1365" s="57"/>
      <c r="AT1365" s="57"/>
      <c r="AU1365" s="57"/>
      <c r="AV1365" s="57"/>
      <c r="AW1365" s="57"/>
      <c r="AX1365" s="57"/>
      <c r="AY1365" s="57"/>
      <c r="AZ1365" s="57"/>
      <c r="BA1365" s="57"/>
    </row>
    <row r="1366" spans="3:53" x14ac:dyDescent="0.25">
      <c r="C1366" s="71"/>
      <c r="K1366" s="71"/>
      <c r="L1366" s="71"/>
      <c r="M1366" s="67"/>
      <c r="W1366" s="76"/>
      <c r="X1366" s="57"/>
      <c r="Y1366" s="57"/>
      <c r="Z1366" s="57"/>
      <c r="AA1366" s="57"/>
      <c r="AB1366" s="57"/>
      <c r="AC1366" s="57"/>
      <c r="AD1366" s="57"/>
      <c r="AE1366" s="57"/>
      <c r="AF1366" s="57"/>
      <c r="AG1366" s="57"/>
      <c r="AH1366" s="57"/>
      <c r="AI1366" s="57"/>
      <c r="AJ1366" s="57"/>
      <c r="AK1366" s="57"/>
      <c r="AL1366" s="57"/>
      <c r="AM1366" s="57"/>
      <c r="AN1366" s="57"/>
      <c r="AO1366" s="57"/>
      <c r="AP1366" s="57"/>
      <c r="AQ1366" s="57"/>
      <c r="AR1366" s="57"/>
      <c r="AS1366" s="57"/>
      <c r="AT1366" s="57"/>
      <c r="AU1366" s="57"/>
      <c r="AV1366" s="57"/>
      <c r="AW1366" s="57"/>
      <c r="AX1366" s="57"/>
      <c r="AY1366" s="57"/>
      <c r="AZ1366" s="57"/>
      <c r="BA1366" s="57"/>
    </row>
    <row r="1367" spans="3:53" x14ac:dyDescent="0.25">
      <c r="C1367" s="71"/>
      <c r="K1367" s="71"/>
      <c r="L1367" s="71"/>
      <c r="M1367" s="67"/>
      <c r="W1367" s="76"/>
      <c r="X1367" s="57"/>
      <c r="Y1367" s="57"/>
      <c r="Z1367" s="57"/>
      <c r="AA1367" s="57"/>
      <c r="AB1367" s="57"/>
      <c r="AC1367" s="57"/>
      <c r="AD1367" s="57"/>
      <c r="AE1367" s="57"/>
      <c r="AF1367" s="57"/>
      <c r="AG1367" s="57"/>
      <c r="AH1367" s="57"/>
      <c r="AI1367" s="57"/>
      <c r="AJ1367" s="57"/>
      <c r="AK1367" s="57"/>
      <c r="AL1367" s="57"/>
      <c r="AM1367" s="57"/>
      <c r="AN1367" s="57"/>
      <c r="AO1367" s="57"/>
      <c r="AP1367" s="57"/>
      <c r="AQ1367" s="57"/>
      <c r="AR1367" s="57"/>
      <c r="AS1367" s="57"/>
      <c r="AT1367" s="57"/>
      <c r="AU1367" s="57"/>
      <c r="AV1367" s="57"/>
      <c r="AW1367" s="57"/>
      <c r="AX1367" s="57"/>
      <c r="AY1367" s="57"/>
      <c r="AZ1367" s="57"/>
      <c r="BA1367" s="57"/>
    </row>
    <row r="1368" spans="3:53" x14ac:dyDescent="0.25">
      <c r="C1368" s="69"/>
      <c r="K1368" s="69"/>
      <c r="L1368" s="69"/>
      <c r="M1368" s="67"/>
      <c r="W1368" s="76"/>
      <c r="X1368" s="57"/>
      <c r="Y1368" s="57"/>
      <c r="Z1368" s="57"/>
      <c r="AA1368" s="57"/>
      <c r="AB1368" s="57"/>
      <c r="AC1368" s="57"/>
      <c r="AD1368" s="57"/>
      <c r="AE1368" s="57"/>
      <c r="AF1368" s="57"/>
      <c r="AG1368" s="57"/>
      <c r="AH1368" s="57"/>
      <c r="AI1368" s="57"/>
      <c r="AJ1368" s="57"/>
      <c r="AK1368" s="57"/>
      <c r="AL1368" s="57"/>
      <c r="AM1368" s="57"/>
      <c r="AN1368" s="57"/>
      <c r="AO1368" s="57"/>
      <c r="AP1368" s="57"/>
      <c r="AQ1368" s="57"/>
      <c r="AR1368" s="57"/>
      <c r="AS1368" s="57"/>
      <c r="AT1368" s="57"/>
      <c r="AU1368" s="57"/>
      <c r="AV1368" s="57"/>
      <c r="AW1368" s="57"/>
      <c r="AX1368" s="57"/>
      <c r="AY1368" s="57"/>
      <c r="AZ1368" s="57"/>
      <c r="BA1368" s="57"/>
    </row>
    <row r="1369" spans="3:53" x14ac:dyDescent="0.25">
      <c r="C1369" s="69"/>
      <c r="K1369" s="69"/>
      <c r="L1369" s="69"/>
      <c r="M1369" s="67"/>
      <c r="W1369" s="76"/>
      <c r="X1369" s="57"/>
      <c r="Y1369" s="57"/>
      <c r="Z1369" s="57"/>
      <c r="AA1369" s="57"/>
      <c r="AB1369" s="57"/>
      <c r="AC1369" s="57"/>
      <c r="AD1369" s="57"/>
      <c r="AE1369" s="57"/>
      <c r="AF1369" s="57"/>
      <c r="AG1369" s="57"/>
      <c r="AH1369" s="57"/>
      <c r="AI1369" s="57"/>
      <c r="AJ1369" s="57"/>
      <c r="AK1369" s="57"/>
      <c r="AL1369" s="57"/>
      <c r="AM1369" s="57"/>
      <c r="AN1369" s="57"/>
      <c r="AO1369" s="57"/>
      <c r="AP1369" s="57"/>
      <c r="AQ1369" s="57"/>
      <c r="AR1369" s="57"/>
      <c r="AS1369" s="57"/>
      <c r="AT1369" s="57"/>
      <c r="AU1369" s="57"/>
      <c r="AV1369" s="57"/>
      <c r="AW1369" s="57"/>
      <c r="AX1369" s="57"/>
      <c r="AY1369" s="57"/>
      <c r="AZ1369" s="57"/>
      <c r="BA1369" s="57"/>
    </row>
    <row r="1370" spans="3:53" x14ac:dyDescent="0.25">
      <c r="C1370" s="69"/>
      <c r="K1370" s="69"/>
      <c r="L1370" s="69"/>
      <c r="M1370" s="67"/>
      <c r="W1370" s="76"/>
      <c r="X1370" s="57"/>
      <c r="Y1370" s="57"/>
      <c r="Z1370" s="57"/>
      <c r="AA1370" s="57"/>
      <c r="AB1370" s="57"/>
      <c r="AC1370" s="57"/>
      <c r="AD1370" s="57"/>
      <c r="AE1370" s="57"/>
      <c r="AF1370" s="57"/>
      <c r="AG1370" s="57"/>
      <c r="AH1370" s="57"/>
      <c r="AI1370" s="57"/>
      <c r="AJ1370" s="57"/>
      <c r="AK1370" s="57"/>
      <c r="AL1370" s="57"/>
      <c r="AM1370" s="57"/>
      <c r="AN1370" s="57"/>
      <c r="AO1370" s="57"/>
      <c r="AP1370" s="57"/>
      <c r="AQ1370" s="57"/>
      <c r="AR1370" s="57"/>
      <c r="AS1370" s="57"/>
      <c r="AT1370" s="57"/>
      <c r="AU1370" s="57"/>
      <c r="AV1370" s="57"/>
      <c r="AW1370" s="57"/>
      <c r="AX1370" s="57"/>
      <c r="AY1370" s="57"/>
      <c r="AZ1370" s="57"/>
      <c r="BA1370" s="57"/>
    </row>
    <row r="1371" spans="3:53" x14ac:dyDescent="0.25">
      <c r="C1371" s="69"/>
      <c r="K1371" s="69"/>
      <c r="L1371" s="69"/>
      <c r="M1371" s="67"/>
      <c r="W1371" s="76"/>
      <c r="X1371" s="57"/>
      <c r="Y1371" s="57"/>
      <c r="Z1371" s="57"/>
      <c r="AA1371" s="57"/>
      <c r="AB1371" s="57"/>
      <c r="AC1371" s="57"/>
      <c r="AD1371" s="57"/>
      <c r="AE1371" s="57"/>
      <c r="AF1371" s="57"/>
      <c r="AG1371" s="57"/>
      <c r="AH1371" s="57"/>
      <c r="AI1371" s="57"/>
      <c r="AJ1371" s="57"/>
      <c r="AK1371" s="57"/>
      <c r="AL1371" s="57"/>
      <c r="AM1371" s="57"/>
      <c r="AN1371" s="57"/>
      <c r="AO1371" s="57"/>
      <c r="AP1371" s="57"/>
      <c r="AQ1371" s="57"/>
      <c r="AR1371" s="57"/>
      <c r="AS1371" s="57"/>
      <c r="AT1371" s="57"/>
      <c r="AU1371" s="57"/>
      <c r="AV1371" s="57"/>
      <c r="AW1371" s="57"/>
      <c r="AX1371" s="57"/>
      <c r="AY1371" s="57"/>
      <c r="AZ1371" s="57"/>
      <c r="BA1371" s="57"/>
    </row>
    <row r="1372" spans="3:53" x14ac:dyDescent="0.25">
      <c r="C1372" s="69"/>
      <c r="K1372" s="69"/>
      <c r="L1372" s="69"/>
      <c r="M1372" s="67"/>
      <c r="W1372" s="76"/>
      <c r="X1372" s="57"/>
      <c r="Y1372" s="57"/>
      <c r="Z1372" s="57"/>
      <c r="AA1372" s="57"/>
      <c r="AB1372" s="57"/>
      <c r="AC1372" s="57"/>
      <c r="AD1372" s="57"/>
      <c r="AE1372" s="57"/>
      <c r="AF1372" s="57"/>
      <c r="AG1372" s="57"/>
      <c r="AH1372" s="57"/>
      <c r="AI1372" s="57"/>
      <c r="AJ1372" s="57"/>
      <c r="AK1372" s="57"/>
      <c r="AL1372" s="57"/>
      <c r="AM1372" s="57"/>
      <c r="AN1372" s="57"/>
      <c r="AO1372" s="57"/>
      <c r="AP1372" s="57"/>
      <c r="AQ1372" s="57"/>
      <c r="AR1372" s="57"/>
      <c r="AS1372" s="57"/>
      <c r="AT1372" s="57"/>
      <c r="AU1372" s="57"/>
      <c r="AV1372" s="57"/>
      <c r="AW1372" s="57"/>
      <c r="AX1372" s="57"/>
      <c r="AY1372" s="57"/>
      <c r="AZ1372" s="57"/>
      <c r="BA1372" s="57"/>
    </row>
    <row r="1373" spans="3:53" x14ac:dyDescent="0.25">
      <c r="C1373" s="69"/>
      <c r="K1373" s="69"/>
      <c r="L1373" s="69"/>
      <c r="M1373" s="67"/>
      <c r="W1373" s="76"/>
      <c r="X1373" s="57"/>
      <c r="Y1373" s="57"/>
      <c r="Z1373" s="57"/>
      <c r="AA1373" s="57"/>
      <c r="AB1373" s="57"/>
      <c r="AC1373" s="57"/>
      <c r="AD1373" s="57"/>
      <c r="AE1373" s="57"/>
      <c r="AF1373" s="57"/>
      <c r="AG1373" s="57"/>
      <c r="AH1373" s="57"/>
      <c r="AI1373" s="57"/>
      <c r="AJ1373" s="57"/>
      <c r="AK1373" s="57"/>
      <c r="AL1373" s="57"/>
      <c r="AM1373" s="57"/>
      <c r="AN1373" s="57"/>
      <c r="AO1373" s="57"/>
      <c r="AP1373" s="57"/>
      <c r="AQ1373" s="57"/>
      <c r="AR1373" s="57"/>
      <c r="AS1373" s="57"/>
      <c r="AT1373" s="57"/>
      <c r="AU1373" s="57"/>
      <c r="AV1373" s="57"/>
      <c r="AW1373" s="57"/>
      <c r="AX1373" s="57"/>
      <c r="AY1373" s="57"/>
      <c r="AZ1373" s="57"/>
      <c r="BA1373" s="57"/>
    </row>
    <row r="1374" spans="3:53" x14ac:dyDescent="0.25">
      <c r="C1374" s="69"/>
      <c r="K1374" s="69"/>
      <c r="L1374" s="69"/>
      <c r="M1374" s="67"/>
      <c r="W1374" s="76"/>
      <c r="X1374" s="57"/>
      <c r="Y1374" s="57"/>
      <c r="Z1374" s="57"/>
      <c r="AA1374" s="57"/>
      <c r="AB1374" s="57"/>
      <c r="AC1374" s="57"/>
      <c r="AD1374" s="57"/>
      <c r="AE1374" s="57"/>
      <c r="AF1374" s="57"/>
      <c r="AG1374" s="57"/>
      <c r="AH1374" s="57"/>
      <c r="AI1374" s="57"/>
      <c r="AJ1374" s="57"/>
      <c r="AK1374" s="57"/>
      <c r="AL1374" s="57"/>
      <c r="AM1374" s="57"/>
      <c r="AN1374" s="57"/>
      <c r="AO1374" s="57"/>
      <c r="AP1374" s="57"/>
      <c r="AQ1374" s="57"/>
      <c r="AR1374" s="57"/>
      <c r="AS1374" s="57"/>
      <c r="AT1374" s="57"/>
      <c r="AU1374" s="57"/>
      <c r="AV1374" s="57"/>
      <c r="AW1374" s="57"/>
      <c r="AX1374" s="57"/>
      <c r="AY1374" s="57"/>
      <c r="AZ1374" s="57"/>
      <c r="BA1374" s="57"/>
    </row>
    <row r="1375" spans="3:53" x14ac:dyDescent="0.25">
      <c r="C1375" s="69"/>
      <c r="K1375" s="69"/>
      <c r="L1375" s="69"/>
      <c r="M1375" s="67"/>
      <c r="W1375" s="76"/>
      <c r="X1375" s="57"/>
      <c r="Y1375" s="57"/>
      <c r="Z1375" s="57"/>
      <c r="AA1375" s="57"/>
      <c r="AB1375" s="57"/>
      <c r="AC1375" s="57"/>
      <c r="AD1375" s="57"/>
      <c r="AE1375" s="57"/>
      <c r="AF1375" s="57"/>
      <c r="AG1375" s="57"/>
      <c r="AH1375" s="57"/>
      <c r="AI1375" s="57"/>
      <c r="AJ1375" s="57"/>
      <c r="AK1375" s="57"/>
      <c r="AL1375" s="57"/>
      <c r="AM1375" s="57"/>
      <c r="AN1375" s="57"/>
      <c r="AO1375" s="57"/>
      <c r="AP1375" s="57"/>
      <c r="AQ1375" s="57"/>
      <c r="AR1375" s="57"/>
      <c r="AS1375" s="57"/>
      <c r="AT1375" s="57"/>
      <c r="AU1375" s="57"/>
      <c r="AV1375" s="57"/>
      <c r="AW1375" s="57"/>
      <c r="AX1375" s="57"/>
      <c r="AY1375" s="57"/>
      <c r="AZ1375" s="57"/>
      <c r="BA1375" s="57"/>
    </row>
    <row r="1376" spans="3:53" x14ac:dyDescent="0.25">
      <c r="C1376" s="69"/>
      <c r="K1376" s="69"/>
      <c r="L1376" s="69"/>
      <c r="M1376" s="67"/>
      <c r="W1376" s="76"/>
      <c r="X1376" s="57"/>
      <c r="Y1376" s="57"/>
      <c r="Z1376" s="57"/>
      <c r="AA1376" s="57"/>
      <c r="AB1376" s="57"/>
      <c r="AC1376" s="57"/>
      <c r="AD1376" s="57"/>
      <c r="AE1376" s="57"/>
      <c r="AF1376" s="57"/>
      <c r="AG1376" s="57"/>
      <c r="AH1376" s="57"/>
      <c r="AI1376" s="57"/>
      <c r="AJ1376" s="57"/>
      <c r="AK1376" s="57"/>
      <c r="AL1376" s="57"/>
      <c r="AM1376" s="57"/>
      <c r="AN1376" s="57"/>
      <c r="AO1376" s="57"/>
      <c r="AP1376" s="57"/>
      <c r="AQ1376" s="57"/>
      <c r="AR1376" s="57"/>
      <c r="AS1376" s="57"/>
      <c r="AT1376" s="57"/>
      <c r="AU1376" s="57"/>
      <c r="AV1376" s="57"/>
      <c r="AW1376" s="57"/>
      <c r="AX1376" s="57"/>
      <c r="AY1376" s="57"/>
      <c r="AZ1376" s="57"/>
      <c r="BA1376" s="57"/>
    </row>
    <row r="1377" spans="3:53" x14ac:dyDescent="0.25">
      <c r="C1377" s="69"/>
      <c r="K1377" s="69"/>
      <c r="L1377" s="69"/>
      <c r="M1377" s="67"/>
      <c r="W1377" s="76"/>
      <c r="X1377" s="57"/>
      <c r="Y1377" s="57"/>
      <c r="Z1377" s="57"/>
      <c r="AA1377" s="57"/>
      <c r="AB1377" s="57"/>
      <c r="AC1377" s="57"/>
      <c r="AD1377" s="57"/>
      <c r="AE1377" s="57"/>
      <c r="AF1377" s="57"/>
      <c r="AG1377" s="57"/>
      <c r="AH1377" s="57"/>
      <c r="AI1377" s="57"/>
      <c r="AJ1377" s="57"/>
      <c r="AK1377" s="57"/>
      <c r="AL1377" s="57"/>
      <c r="AM1377" s="57"/>
      <c r="AN1377" s="57"/>
      <c r="AO1377" s="57"/>
      <c r="AP1377" s="57"/>
      <c r="AQ1377" s="57"/>
      <c r="AR1377" s="57"/>
      <c r="AS1377" s="57"/>
      <c r="AT1377" s="57"/>
      <c r="AU1377" s="57"/>
      <c r="AV1377" s="57"/>
      <c r="AW1377" s="57"/>
      <c r="AX1377" s="57"/>
      <c r="AY1377" s="57"/>
      <c r="AZ1377" s="57"/>
      <c r="BA1377" s="57"/>
    </row>
    <row r="1378" spans="3:53" x14ac:dyDescent="0.25">
      <c r="C1378" s="69"/>
      <c r="K1378" s="69"/>
      <c r="L1378" s="69"/>
      <c r="M1378" s="67"/>
      <c r="W1378" s="76"/>
      <c r="X1378" s="57"/>
      <c r="Y1378" s="57"/>
      <c r="Z1378" s="57"/>
      <c r="AA1378" s="57"/>
      <c r="AB1378" s="57"/>
      <c r="AC1378" s="57"/>
      <c r="AD1378" s="57"/>
      <c r="AE1378" s="57"/>
      <c r="AF1378" s="57"/>
      <c r="AG1378" s="57"/>
      <c r="AH1378" s="57"/>
      <c r="AI1378" s="57"/>
      <c r="AJ1378" s="57"/>
      <c r="AK1378" s="57"/>
      <c r="AL1378" s="57"/>
      <c r="AM1378" s="57"/>
      <c r="AN1378" s="57"/>
      <c r="AO1378" s="57"/>
      <c r="AP1378" s="57"/>
      <c r="AQ1378" s="57"/>
      <c r="AR1378" s="57"/>
      <c r="AS1378" s="57"/>
      <c r="AT1378" s="57"/>
      <c r="AU1378" s="57"/>
      <c r="AV1378" s="57"/>
      <c r="AW1378" s="57"/>
      <c r="AX1378" s="57"/>
      <c r="AY1378" s="57"/>
      <c r="AZ1378" s="57"/>
      <c r="BA1378" s="57"/>
    </row>
    <row r="1379" spans="3:53" x14ac:dyDescent="0.25">
      <c r="C1379" s="69"/>
      <c r="K1379" s="69"/>
      <c r="L1379" s="69"/>
      <c r="M1379" s="67"/>
      <c r="W1379" s="76"/>
      <c r="X1379" s="57"/>
      <c r="Y1379" s="57"/>
      <c r="Z1379" s="57"/>
      <c r="AA1379" s="57"/>
      <c r="AB1379" s="57"/>
      <c r="AC1379" s="57"/>
      <c r="AD1379" s="57"/>
      <c r="AE1379" s="57"/>
      <c r="AF1379" s="57"/>
      <c r="AG1379" s="57"/>
      <c r="AH1379" s="57"/>
      <c r="AI1379" s="57"/>
      <c r="AJ1379" s="57"/>
      <c r="AK1379" s="57"/>
      <c r="AL1379" s="57"/>
      <c r="AM1379" s="57"/>
      <c r="AN1379" s="57"/>
      <c r="AO1379" s="57"/>
      <c r="AP1379" s="57"/>
      <c r="AQ1379" s="57"/>
      <c r="AR1379" s="57"/>
      <c r="AS1379" s="57"/>
      <c r="AT1379" s="57"/>
      <c r="AU1379" s="57"/>
      <c r="AV1379" s="57"/>
      <c r="AW1379" s="57"/>
      <c r="AX1379" s="57"/>
      <c r="AY1379" s="57"/>
      <c r="AZ1379" s="57"/>
      <c r="BA1379" s="57"/>
    </row>
    <row r="1380" spans="3:53" x14ac:dyDescent="0.25">
      <c r="C1380" s="69"/>
      <c r="K1380" s="69"/>
      <c r="L1380" s="69"/>
      <c r="M1380" s="67"/>
      <c r="W1380" s="76"/>
      <c r="X1380" s="57"/>
      <c r="Y1380" s="57"/>
      <c r="Z1380" s="57"/>
      <c r="AA1380" s="57"/>
      <c r="AB1380" s="57"/>
      <c r="AC1380" s="57"/>
      <c r="AD1380" s="57"/>
      <c r="AE1380" s="57"/>
      <c r="AF1380" s="57"/>
      <c r="AG1380" s="57"/>
      <c r="AH1380" s="57"/>
      <c r="AI1380" s="57"/>
      <c r="AJ1380" s="57"/>
      <c r="AK1380" s="57"/>
      <c r="AL1380" s="57"/>
      <c r="AM1380" s="57"/>
      <c r="AN1380" s="57"/>
      <c r="AO1380" s="57"/>
      <c r="AP1380" s="57"/>
      <c r="AQ1380" s="57"/>
      <c r="AR1380" s="57"/>
      <c r="AS1380" s="57"/>
      <c r="AT1380" s="57"/>
      <c r="AU1380" s="57"/>
      <c r="AV1380" s="57"/>
      <c r="AW1380" s="57"/>
      <c r="AX1380" s="57"/>
      <c r="AY1380" s="57"/>
      <c r="AZ1380" s="57"/>
      <c r="BA1380" s="57"/>
    </row>
    <row r="1381" spans="3:53" x14ac:dyDescent="0.25">
      <c r="C1381" s="69"/>
      <c r="K1381" s="69"/>
      <c r="L1381" s="69"/>
      <c r="M1381" s="67"/>
      <c r="W1381" s="76"/>
      <c r="X1381" s="57"/>
      <c r="Y1381" s="57"/>
      <c r="Z1381" s="57"/>
      <c r="AA1381" s="57"/>
      <c r="AB1381" s="57"/>
      <c r="AC1381" s="57"/>
      <c r="AD1381" s="57"/>
      <c r="AE1381" s="57"/>
      <c r="AF1381" s="57"/>
      <c r="AG1381" s="57"/>
      <c r="AH1381" s="57"/>
      <c r="AI1381" s="57"/>
      <c r="AJ1381" s="57"/>
      <c r="AK1381" s="57"/>
      <c r="AL1381" s="57"/>
      <c r="AM1381" s="57"/>
      <c r="AN1381" s="57"/>
      <c r="AO1381" s="57"/>
      <c r="AP1381" s="57"/>
      <c r="AQ1381" s="57"/>
      <c r="AR1381" s="57"/>
      <c r="AS1381" s="57"/>
      <c r="AT1381" s="57"/>
      <c r="AU1381" s="57"/>
      <c r="AV1381" s="57"/>
      <c r="AW1381" s="57"/>
      <c r="AX1381" s="57"/>
      <c r="AY1381" s="57"/>
      <c r="AZ1381" s="57"/>
      <c r="BA1381" s="57"/>
    </row>
    <row r="1382" spans="3:53" x14ac:dyDescent="0.25">
      <c r="C1382" s="69"/>
      <c r="K1382" s="69"/>
      <c r="L1382" s="69"/>
      <c r="M1382" s="67"/>
      <c r="W1382" s="76"/>
      <c r="X1382" s="57"/>
      <c r="Y1382" s="57"/>
      <c r="Z1382" s="57"/>
      <c r="AA1382" s="57"/>
      <c r="AB1382" s="57"/>
      <c r="AC1382" s="57"/>
      <c r="AD1382" s="57"/>
      <c r="AE1382" s="57"/>
      <c r="AF1382" s="57"/>
      <c r="AG1382" s="57"/>
      <c r="AH1382" s="57"/>
      <c r="AI1382" s="57"/>
      <c r="AJ1382" s="57"/>
      <c r="AK1382" s="57"/>
      <c r="AL1382" s="57"/>
      <c r="AM1382" s="57"/>
      <c r="AN1382" s="57"/>
      <c r="AO1382" s="57"/>
      <c r="AP1382" s="57"/>
      <c r="AQ1382" s="57"/>
      <c r="AR1382" s="57"/>
      <c r="AS1382" s="57"/>
      <c r="AT1382" s="57"/>
      <c r="AU1382" s="57"/>
      <c r="AV1382" s="57"/>
      <c r="AW1382" s="57"/>
      <c r="AX1382" s="57"/>
      <c r="AY1382" s="57"/>
      <c r="AZ1382" s="57"/>
      <c r="BA1382" s="57"/>
    </row>
    <row r="1383" spans="3:53" x14ac:dyDescent="0.25">
      <c r="C1383" s="69"/>
      <c r="K1383" s="69"/>
      <c r="L1383" s="69"/>
      <c r="M1383" s="67"/>
      <c r="W1383" s="76"/>
      <c r="X1383" s="57"/>
      <c r="Y1383" s="57"/>
      <c r="Z1383" s="57"/>
      <c r="AA1383" s="57"/>
      <c r="AB1383" s="57"/>
      <c r="AC1383" s="57"/>
      <c r="AD1383" s="57"/>
      <c r="AE1383" s="57"/>
      <c r="AF1383" s="57"/>
      <c r="AG1383" s="57"/>
      <c r="AH1383" s="57"/>
      <c r="AI1383" s="57"/>
      <c r="AJ1383" s="57"/>
      <c r="AK1383" s="57"/>
      <c r="AL1383" s="57"/>
      <c r="AM1383" s="57"/>
      <c r="AN1383" s="57"/>
      <c r="AO1383" s="57"/>
      <c r="AP1383" s="57"/>
      <c r="AQ1383" s="57"/>
      <c r="AR1383" s="57"/>
      <c r="AS1383" s="57"/>
      <c r="AT1383" s="57"/>
      <c r="AU1383" s="57"/>
      <c r="AV1383" s="57"/>
      <c r="AW1383" s="57"/>
      <c r="AX1383" s="57"/>
      <c r="AY1383" s="57"/>
      <c r="AZ1383" s="57"/>
      <c r="BA1383" s="57"/>
    </row>
    <row r="1384" spans="3:53" x14ac:dyDescent="0.25">
      <c r="C1384" s="69"/>
      <c r="K1384" s="69"/>
      <c r="L1384" s="69"/>
      <c r="M1384" s="67"/>
      <c r="W1384" s="76"/>
      <c r="X1384" s="57"/>
      <c r="Y1384" s="57"/>
      <c r="Z1384" s="57"/>
      <c r="AA1384" s="57"/>
      <c r="AB1384" s="57"/>
      <c r="AC1384" s="57"/>
      <c r="AD1384" s="57"/>
      <c r="AE1384" s="57"/>
      <c r="AF1384" s="57"/>
      <c r="AG1384" s="57"/>
      <c r="AH1384" s="57"/>
      <c r="AI1384" s="57"/>
      <c r="AJ1384" s="57"/>
      <c r="AK1384" s="57"/>
      <c r="AL1384" s="57"/>
      <c r="AM1384" s="57"/>
      <c r="AN1384" s="57"/>
      <c r="AO1384" s="57"/>
      <c r="AP1384" s="57"/>
      <c r="AQ1384" s="57"/>
      <c r="AR1384" s="57"/>
      <c r="AS1384" s="57"/>
      <c r="AT1384" s="57"/>
      <c r="AU1384" s="57"/>
      <c r="AV1384" s="57"/>
      <c r="AW1384" s="57"/>
      <c r="AX1384" s="57"/>
      <c r="AY1384" s="57"/>
      <c r="AZ1384" s="57"/>
      <c r="BA1384" s="57"/>
    </row>
    <row r="1385" spans="3:53" x14ac:dyDescent="0.25">
      <c r="C1385" s="69"/>
      <c r="K1385" s="69"/>
      <c r="L1385" s="69"/>
      <c r="M1385" s="67"/>
      <c r="W1385" s="76"/>
      <c r="X1385" s="57"/>
      <c r="Y1385" s="57"/>
      <c r="Z1385" s="57"/>
      <c r="AA1385" s="57"/>
      <c r="AB1385" s="57"/>
      <c r="AC1385" s="57"/>
      <c r="AD1385" s="57"/>
      <c r="AE1385" s="57"/>
      <c r="AF1385" s="57"/>
      <c r="AG1385" s="57"/>
      <c r="AH1385" s="57"/>
      <c r="AI1385" s="57"/>
      <c r="AJ1385" s="57"/>
      <c r="AK1385" s="57"/>
      <c r="AL1385" s="57"/>
      <c r="AM1385" s="57"/>
      <c r="AN1385" s="57"/>
      <c r="AO1385" s="57"/>
      <c r="AP1385" s="57"/>
      <c r="AQ1385" s="57"/>
      <c r="AR1385" s="57"/>
      <c r="AS1385" s="57"/>
      <c r="AT1385" s="57"/>
      <c r="AU1385" s="57"/>
      <c r="AV1385" s="57"/>
      <c r="AW1385" s="57"/>
      <c r="AX1385" s="57"/>
      <c r="AY1385" s="57"/>
      <c r="AZ1385" s="57"/>
      <c r="BA1385" s="57"/>
    </row>
    <row r="1386" spans="3:53" x14ac:dyDescent="0.25">
      <c r="C1386" s="69"/>
      <c r="K1386" s="69"/>
      <c r="L1386" s="69"/>
      <c r="M1386" s="67"/>
      <c r="W1386" s="76"/>
      <c r="X1386" s="57"/>
      <c r="Y1386" s="57"/>
      <c r="Z1386" s="57"/>
      <c r="AA1386" s="57"/>
      <c r="AB1386" s="57"/>
      <c r="AC1386" s="57"/>
      <c r="AD1386" s="57"/>
      <c r="AE1386" s="57"/>
      <c r="AF1386" s="57"/>
      <c r="AG1386" s="57"/>
      <c r="AH1386" s="57"/>
      <c r="AI1386" s="57"/>
      <c r="AJ1386" s="57"/>
      <c r="AK1386" s="57"/>
      <c r="AL1386" s="57"/>
      <c r="AM1386" s="57"/>
      <c r="AN1386" s="57"/>
      <c r="AO1386" s="57"/>
      <c r="AP1386" s="57"/>
      <c r="AQ1386" s="57"/>
      <c r="AR1386" s="57"/>
      <c r="AS1386" s="57"/>
      <c r="AT1386" s="57"/>
      <c r="AU1386" s="57"/>
      <c r="AV1386" s="57"/>
      <c r="AW1386" s="57"/>
      <c r="AX1386" s="57"/>
      <c r="AY1386" s="57"/>
      <c r="AZ1386" s="57"/>
      <c r="BA1386" s="57"/>
    </row>
    <row r="1387" spans="3:53" x14ac:dyDescent="0.25">
      <c r="C1387" s="69"/>
      <c r="K1387" s="69"/>
      <c r="L1387" s="69"/>
      <c r="M1387" s="67"/>
      <c r="W1387" s="76"/>
      <c r="X1387" s="57"/>
      <c r="Y1387" s="57"/>
      <c r="Z1387" s="57"/>
      <c r="AA1387" s="57"/>
      <c r="AB1387" s="57"/>
      <c r="AC1387" s="57"/>
      <c r="AD1387" s="57"/>
      <c r="AE1387" s="57"/>
      <c r="AF1387" s="57"/>
      <c r="AG1387" s="57"/>
      <c r="AH1387" s="57"/>
      <c r="AI1387" s="57"/>
      <c r="AJ1387" s="57"/>
      <c r="AK1387" s="57"/>
      <c r="AL1387" s="57"/>
      <c r="AM1387" s="57"/>
      <c r="AN1387" s="57"/>
      <c r="AO1387" s="57"/>
      <c r="AP1387" s="57"/>
      <c r="AQ1387" s="57"/>
      <c r="AR1387" s="57"/>
      <c r="AS1387" s="57"/>
      <c r="AT1387" s="57"/>
      <c r="AU1387" s="57"/>
      <c r="AV1387" s="57"/>
      <c r="AW1387" s="57"/>
      <c r="AX1387" s="57"/>
      <c r="AY1387" s="57"/>
      <c r="AZ1387" s="57"/>
      <c r="BA1387" s="57"/>
    </row>
    <row r="1388" spans="3:53" x14ac:dyDescent="0.25">
      <c r="C1388" s="69"/>
      <c r="K1388" s="69"/>
      <c r="L1388" s="69"/>
      <c r="M1388" s="67"/>
      <c r="W1388" s="76"/>
      <c r="X1388" s="57"/>
      <c r="Y1388" s="57"/>
      <c r="Z1388" s="57"/>
      <c r="AA1388" s="57"/>
      <c r="AB1388" s="57"/>
      <c r="AC1388" s="57"/>
      <c r="AD1388" s="57"/>
      <c r="AE1388" s="57"/>
      <c r="AF1388" s="57"/>
      <c r="AG1388" s="57"/>
      <c r="AH1388" s="57"/>
      <c r="AI1388" s="57"/>
      <c r="AJ1388" s="57"/>
      <c r="AK1388" s="57"/>
      <c r="AL1388" s="57"/>
      <c r="AM1388" s="57"/>
      <c r="AN1388" s="57"/>
      <c r="AO1388" s="57"/>
      <c r="AP1388" s="57"/>
      <c r="AQ1388" s="57"/>
      <c r="AR1388" s="57"/>
      <c r="AS1388" s="57"/>
      <c r="AT1388" s="57"/>
      <c r="AU1388" s="57"/>
      <c r="AV1388" s="57"/>
      <c r="AW1388" s="57"/>
      <c r="AX1388" s="57"/>
      <c r="AY1388" s="57"/>
      <c r="AZ1388" s="57"/>
      <c r="BA1388" s="57"/>
    </row>
    <row r="1389" spans="3:53" x14ac:dyDescent="0.25">
      <c r="C1389" s="69"/>
      <c r="K1389" s="69"/>
      <c r="L1389" s="69"/>
      <c r="M1389" s="67"/>
      <c r="W1389" s="76"/>
      <c r="X1389" s="57"/>
      <c r="Y1389" s="57"/>
      <c r="Z1389" s="57"/>
      <c r="AA1389" s="57"/>
      <c r="AB1389" s="57"/>
      <c r="AC1389" s="57"/>
      <c r="AD1389" s="57"/>
      <c r="AE1389" s="57"/>
      <c r="AF1389" s="57"/>
      <c r="AG1389" s="57"/>
      <c r="AH1389" s="57"/>
      <c r="AI1389" s="57"/>
      <c r="AJ1389" s="57"/>
      <c r="AK1389" s="57"/>
      <c r="AL1389" s="57"/>
      <c r="AM1389" s="57"/>
      <c r="AN1389" s="57"/>
      <c r="AO1389" s="57"/>
      <c r="AP1389" s="57"/>
      <c r="AQ1389" s="57"/>
      <c r="AR1389" s="57"/>
      <c r="AS1389" s="57"/>
      <c r="AT1389" s="57"/>
      <c r="AU1389" s="57"/>
      <c r="AV1389" s="57"/>
      <c r="AW1389" s="57"/>
      <c r="AX1389" s="57"/>
      <c r="AY1389" s="57"/>
      <c r="AZ1389" s="57"/>
      <c r="BA1389" s="57"/>
    </row>
    <row r="1390" spans="3:53" x14ac:dyDescent="0.25">
      <c r="C1390" s="69"/>
      <c r="K1390" s="69"/>
      <c r="L1390" s="69"/>
      <c r="M1390" s="67"/>
      <c r="W1390" s="76"/>
      <c r="X1390" s="57"/>
      <c r="Y1390" s="57"/>
      <c r="Z1390" s="57"/>
      <c r="AA1390" s="57"/>
      <c r="AB1390" s="57"/>
      <c r="AC1390" s="57"/>
      <c r="AD1390" s="57"/>
      <c r="AE1390" s="57"/>
      <c r="AF1390" s="57"/>
      <c r="AG1390" s="57"/>
      <c r="AH1390" s="57"/>
      <c r="AI1390" s="57"/>
      <c r="AJ1390" s="57"/>
      <c r="AK1390" s="57"/>
      <c r="AL1390" s="57"/>
      <c r="AM1390" s="57"/>
      <c r="AN1390" s="57"/>
      <c r="AO1390" s="57"/>
      <c r="AP1390" s="57"/>
      <c r="AQ1390" s="57"/>
      <c r="AR1390" s="57"/>
      <c r="AS1390" s="57"/>
      <c r="AT1390" s="57"/>
      <c r="AU1390" s="57"/>
      <c r="AV1390" s="57"/>
      <c r="AW1390" s="57"/>
      <c r="AX1390" s="57"/>
      <c r="AY1390" s="57"/>
      <c r="AZ1390" s="57"/>
      <c r="BA1390" s="57"/>
    </row>
    <row r="1391" spans="3:53" x14ac:dyDescent="0.25">
      <c r="C1391" s="69"/>
      <c r="K1391" s="69"/>
      <c r="L1391" s="69"/>
      <c r="M1391" s="67"/>
      <c r="W1391" s="76"/>
      <c r="X1391" s="57"/>
      <c r="Y1391" s="57"/>
      <c r="Z1391" s="57"/>
      <c r="AA1391" s="57"/>
      <c r="AB1391" s="57"/>
      <c r="AC1391" s="57"/>
      <c r="AD1391" s="57"/>
      <c r="AE1391" s="57"/>
      <c r="AF1391" s="57"/>
      <c r="AG1391" s="57"/>
      <c r="AH1391" s="57"/>
      <c r="AI1391" s="57"/>
      <c r="AJ1391" s="57"/>
      <c r="AK1391" s="57"/>
      <c r="AL1391" s="57"/>
      <c r="AM1391" s="57"/>
      <c r="AN1391" s="57"/>
      <c r="AO1391" s="57"/>
      <c r="AP1391" s="57"/>
      <c r="AQ1391" s="57"/>
      <c r="AR1391" s="57"/>
      <c r="AS1391" s="57"/>
      <c r="AT1391" s="57"/>
      <c r="AU1391" s="57"/>
      <c r="AV1391" s="57"/>
      <c r="AW1391" s="57"/>
      <c r="AX1391" s="57"/>
      <c r="AY1391" s="57"/>
      <c r="AZ1391" s="57"/>
      <c r="BA1391" s="57"/>
    </row>
    <row r="1392" spans="3:53" x14ac:dyDescent="0.25">
      <c r="C1392" s="69"/>
      <c r="K1392" s="69"/>
      <c r="L1392" s="69"/>
      <c r="M1392" s="67"/>
      <c r="W1392" s="76"/>
      <c r="X1392" s="57"/>
      <c r="Y1392" s="57"/>
      <c r="Z1392" s="57"/>
      <c r="AA1392" s="57"/>
      <c r="AB1392" s="57"/>
      <c r="AC1392" s="57"/>
      <c r="AD1392" s="57"/>
      <c r="AE1392" s="57"/>
      <c r="AF1392" s="57"/>
      <c r="AG1392" s="57"/>
      <c r="AH1392" s="57"/>
      <c r="AI1392" s="57"/>
      <c r="AJ1392" s="57"/>
      <c r="AK1392" s="57"/>
      <c r="AL1392" s="57"/>
      <c r="AM1392" s="57"/>
      <c r="AN1392" s="57"/>
      <c r="AO1392" s="57"/>
      <c r="AP1392" s="57"/>
      <c r="AQ1392" s="57"/>
      <c r="AR1392" s="57"/>
      <c r="AS1392" s="57"/>
      <c r="AT1392" s="57"/>
      <c r="AU1392" s="57"/>
      <c r="AV1392" s="57"/>
      <c r="AW1392" s="57"/>
      <c r="AX1392" s="57"/>
      <c r="AY1392" s="57"/>
      <c r="AZ1392" s="57"/>
      <c r="BA1392" s="57"/>
    </row>
    <row r="1393" spans="3:53" x14ac:dyDescent="0.25">
      <c r="C1393" s="69"/>
      <c r="K1393" s="69"/>
      <c r="L1393" s="69"/>
      <c r="M1393" s="67"/>
      <c r="W1393" s="76"/>
      <c r="X1393" s="57"/>
      <c r="Y1393" s="57"/>
      <c r="Z1393" s="57"/>
      <c r="AA1393" s="57"/>
      <c r="AB1393" s="57"/>
      <c r="AC1393" s="57"/>
      <c r="AD1393" s="57"/>
      <c r="AE1393" s="57"/>
      <c r="AF1393" s="57"/>
      <c r="AG1393" s="57"/>
      <c r="AH1393" s="57"/>
      <c r="AI1393" s="57"/>
      <c r="AJ1393" s="57"/>
      <c r="AK1393" s="57"/>
      <c r="AL1393" s="57"/>
      <c r="AM1393" s="57"/>
      <c r="AN1393" s="57"/>
      <c r="AO1393" s="57"/>
      <c r="AP1393" s="57"/>
      <c r="AQ1393" s="57"/>
      <c r="AR1393" s="57"/>
      <c r="AS1393" s="57"/>
      <c r="AT1393" s="57"/>
      <c r="AU1393" s="57"/>
      <c r="AV1393" s="57"/>
      <c r="AW1393" s="57"/>
      <c r="AX1393" s="57"/>
      <c r="AY1393" s="57"/>
      <c r="AZ1393" s="57"/>
      <c r="BA1393" s="57"/>
    </row>
    <row r="1394" spans="3:53" x14ac:dyDescent="0.25">
      <c r="C1394" s="69"/>
      <c r="K1394" s="69"/>
      <c r="L1394" s="69"/>
      <c r="M1394" s="67"/>
      <c r="W1394" s="76"/>
      <c r="X1394" s="57"/>
      <c r="Y1394" s="57"/>
      <c r="Z1394" s="57"/>
      <c r="AA1394" s="57"/>
      <c r="AB1394" s="57"/>
      <c r="AC1394" s="57"/>
      <c r="AD1394" s="57"/>
      <c r="AE1394" s="57"/>
      <c r="AF1394" s="57"/>
      <c r="AG1394" s="57"/>
      <c r="AH1394" s="57"/>
      <c r="AI1394" s="57"/>
      <c r="AJ1394" s="57"/>
      <c r="AK1394" s="57"/>
      <c r="AL1394" s="57"/>
      <c r="AM1394" s="57"/>
      <c r="AN1394" s="57"/>
      <c r="AO1394" s="57"/>
      <c r="AP1394" s="57"/>
      <c r="AQ1394" s="57"/>
      <c r="AR1394" s="57"/>
      <c r="AS1394" s="57"/>
      <c r="AT1394" s="57"/>
      <c r="AU1394" s="57"/>
      <c r="AV1394" s="57"/>
      <c r="AW1394" s="57"/>
      <c r="AX1394" s="57"/>
      <c r="AY1394" s="57"/>
      <c r="AZ1394" s="57"/>
      <c r="BA1394" s="57"/>
    </row>
    <row r="1395" spans="3:53" x14ac:dyDescent="0.25">
      <c r="C1395" s="69"/>
      <c r="K1395" s="69"/>
      <c r="L1395" s="69"/>
      <c r="M1395" s="67"/>
      <c r="W1395" s="76"/>
      <c r="X1395" s="57"/>
      <c r="Y1395" s="57"/>
      <c r="Z1395" s="57"/>
      <c r="AA1395" s="57"/>
      <c r="AB1395" s="57"/>
      <c r="AC1395" s="57"/>
      <c r="AD1395" s="57"/>
      <c r="AE1395" s="57"/>
      <c r="AF1395" s="57"/>
      <c r="AG1395" s="57"/>
      <c r="AH1395" s="57"/>
      <c r="AI1395" s="57"/>
      <c r="AJ1395" s="57"/>
      <c r="AK1395" s="57"/>
      <c r="AL1395" s="57"/>
      <c r="AM1395" s="57"/>
      <c r="AN1395" s="57"/>
      <c r="AO1395" s="57"/>
      <c r="AP1395" s="57"/>
      <c r="AQ1395" s="57"/>
      <c r="AR1395" s="57"/>
      <c r="AS1395" s="57"/>
      <c r="AT1395" s="57"/>
      <c r="AU1395" s="57"/>
      <c r="AV1395" s="57"/>
      <c r="AW1395" s="57"/>
      <c r="AX1395" s="57"/>
      <c r="AY1395" s="57"/>
      <c r="AZ1395" s="57"/>
      <c r="BA1395" s="57"/>
    </row>
    <row r="1396" spans="3:53" x14ac:dyDescent="0.25">
      <c r="C1396" s="69"/>
      <c r="K1396" s="69"/>
      <c r="L1396" s="69"/>
      <c r="M1396" s="67"/>
      <c r="W1396" s="76"/>
      <c r="X1396" s="57"/>
      <c r="Y1396" s="57"/>
      <c r="Z1396" s="57"/>
      <c r="AA1396" s="57"/>
      <c r="AB1396" s="57"/>
      <c r="AC1396" s="57"/>
      <c r="AD1396" s="57"/>
      <c r="AE1396" s="57"/>
      <c r="AF1396" s="57"/>
      <c r="AG1396" s="57"/>
      <c r="AH1396" s="57"/>
      <c r="AI1396" s="57"/>
      <c r="AJ1396" s="57"/>
      <c r="AK1396" s="57"/>
      <c r="AL1396" s="57"/>
      <c r="AM1396" s="57"/>
      <c r="AN1396" s="57"/>
      <c r="AO1396" s="57"/>
      <c r="AP1396" s="57"/>
      <c r="AQ1396" s="57"/>
      <c r="AR1396" s="57"/>
      <c r="AS1396" s="57"/>
      <c r="AT1396" s="57"/>
      <c r="AU1396" s="57"/>
      <c r="AV1396" s="57"/>
      <c r="AW1396" s="57"/>
      <c r="AX1396" s="57"/>
      <c r="AY1396" s="57"/>
      <c r="AZ1396" s="57"/>
      <c r="BA1396" s="57"/>
    </row>
    <row r="1397" spans="3:53" x14ac:dyDescent="0.25">
      <c r="C1397" s="69"/>
      <c r="K1397" s="69"/>
      <c r="L1397" s="69"/>
      <c r="M1397" s="67"/>
      <c r="W1397" s="76"/>
      <c r="X1397" s="57"/>
      <c r="Y1397" s="57"/>
      <c r="Z1397" s="57"/>
      <c r="AA1397" s="57"/>
      <c r="AB1397" s="57"/>
      <c r="AC1397" s="57"/>
      <c r="AD1397" s="57"/>
      <c r="AE1397" s="57"/>
      <c r="AF1397" s="57"/>
      <c r="AG1397" s="57"/>
      <c r="AH1397" s="57"/>
      <c r="AI1397" s="57"/>
      <c r="AJ1397" s="57"/>
      <c r="AK1397" s="57"/>
      <c r="AL1397" s="57"/>
      <c r="AM1397" s="57"/>
      <c r="AN1397" s="57"/>
      <c r="AO1397" s="57"/>
      <c r="AP1397" s="57"/>
      <c r="AQ1397" s="57"/>
      <c r="AR1397" s="57"/>
      <c r="AS1397" s="57"/>
      <c r="AT1397" s="57"/>
      <c r="AU1397" s="57"/>
      <c r="AV1397" s="57"/>
      <c r="AW1397" s="57"/>
      <c r="AX1397" s="57"/>
      <c r="AY1397" s="57"/>
      <c r="AZ1397" s="57"/>
      <c r="BA1397" s="57"/>
    </row>
    <row r="1398" spans="3:53" x14ac:dyDescent="0.25">
      <c r="C1398" s="69"/>
      <c r="K1398" s="69"/>
      <c r="L1398" s="69"/>
      <c r="M1398" s="67"/>
      <c r="W1398" s="76"/>
      <c r="X1398" s="57"/>
      <c r="Y1398" s="57"/>
      <c r="Z1398" s="57"/>
      <c r="AA1398" s="57"/>
      <c r="AB1398" s="57"/>
      <c r="AC1398" s="57"/>
      <c r="AD1398" s="57"/>
      <c r="AE1398" s="57"/>
      <c r="AF1398" s="57"/>
      <c r="AG1398" s="57"/>
      <c r="AH1398" s="57"/>
      <c r="AI1398" s="57"/>
      <c r="AJ1398" s="57"/>
      <c r="AK1398" s="57"/>
      <c r="AL1398" s="57"/>
      <c r="AM1398" s="57"/>
      <c r="AN1398" s="57"/>
      <c r="AO1398" s="57"/>
      <c r="AP1398" s="57"/>
      <c r="AQ1398" s="57"/>
      <c r="AR1398" s="57"/>
      <c r="AS1398" s="57"/>
      <c r="AT1398" s="57"/>
      <c r="AU1398" s="57"/>
      <c r="AV1398" s="57"/>
      <c r="AW1398" s="57"/>
      <c r="AX1398" s="57"/>
      <c r="AY1398" s="57"/>
      <c r="AZ1398" s="57"/>
      <c r="BA1398" s="57"/>
    </row>
    <row r="1399" spans="3:53" x14ac:dyDescent="0.25">
      <c r="C1399" s="69"/>
      <c r="K1399" s="69"/>
      <c r="L1399" s="69"/>
      <c r="M1399" s="67"/>
      <c r="W1399" s="76"/>
      <c r="X1399" s="57"/>
      <c r="Y1399" s="57"/>
      <c r="Z1399" s="57"/>
      <c r="AA1399" s="57"/>
      <c r="AB1399" s="57"/>
      <c r="AC1399" s="57"/>
      <c r="AD1399" s="57"/>
      <c r="AE1399" s="57"/>
      <c r="AF1399" s="57"/>
      <c r="AG1399" s="57"/>
      <c r="AH1399" s="57"/>
      <c r="AI1399" s="57"/>
      <c r="AJ1399" s="57"/>
      <c r="AK1399" s="57"/>
      <c r="AL1399" s="57"/>
      <c r="AM1399" s="57"/>
      <c r="AN1399" s="57"/>
      <c r="AO1399" s="57"/>
      <c r="AP1399" s="57"/>
      <c r="AQ1399" s="57"/>
      <c r="AR1399" s="57"/>
      <c r="AS1399" s="57"/>
      <c r="AT1399" s="57"/>
      <c r="AU1399" s="57"/>
      <c r="AV1399" s="57"/>
      <c r="AW1399" s="57"/>
      <c r="AX1399" s="57"/>
      <c r="AY1399" s="57"/>
      <c r="AZ1399" s="57"/>
      <c r="BA1399" s="57"/>
    </row>
    <row r="1400" spans="3:53" x14ac:dyDescent="0.25">
      <c r="C1400" s="69"/>
      <c r="K1400" s="69"/>
      <c r="L1400" s="69"/>
      <c r="M1400" s="67"/>
      <c r="W1400" s="76"/>
      <c r="X1400" s="57"/>
      <c r="Y1400" s="57"/>
      <c r="Z1400" s="57"/>
      <c r="AA1400" s="57"/>
      <c r="AB1400" s="57"/>
      <c r="AC1400" s="57"/>
      <c r="AD1400" s="57"/>
      <c r="AE1400" s="57"/>
      <c r="AF1400" s="57"/>
      <c r="AG1400" s="57"/>
      <c r="AH1400" s="57"/>
      <c r="AI1400" s="57"/>
      <c r="AJ1400" s="57"/>
      <c r="AK1400" s="57"/>
      <c r="AL1400" s="57"/>
      <c r="AM1400" s="57"/>
      <c r="AN1400" s="57"/>
      <c r="AO1400" s="57"/>
      <c r="AP1400" s="57"/>
      <c r="AQ1400" s="57"/>
      <c r="AR1400" s="57"/>
      <c r="AS1400" s="57"/>
      <c r="AT1400" s="57"/>
      <c r="AU1400" s="57"/>
      <c r="AV1400" s="57"/>
      <c r="AW1400" s="57"/>
      <c r="AX1400" s="57"/>
      <c r="AY1400" s="57"/>
      <c r="AZ1400" s="57"/>
      <c r="BA1400" s="57"/>
    </row>
    <row r="1401" spans="3:53" x14ac:dyDescent="0.25">
      <c r="C1401" s="69"/>
      <c r="K1401" s="69"/>
      <c r="L1401" s="69"/>
      <c r="M1401" s="67"/>
      <c r="W1401" s="76"/>
      <c r="X1401" s="57"/>
      <c r="Y1401" s="57"/>
      <c r="Z1401" s="57"/>
      <c r="AA1401" s="57"/>
      <c r="AB1401" s="57"/>
      <c r="AC1401" s="57"/>
      <c r="AD1401" s="57"/>
      <c r="AE1401" s="57"/>
      <c r="AF1401" s="57"/>
      <c r="AG1401" s="57"/>
      <c r="AH1401" s="57"/>
      <c r="AI1401" s="57"/>
      <c r="AJ1401" s="57"/>
      <c r="AK1401" s="57"/>
      <c r="AL1401" s="57"/>
      <c r="AM1401" s="57"/>
      <c r="AN1401" s="57"/>
      <c r="AO1401" s="57"/>
      <c r="AP1401" s="57"/>
      <c r="AQ1401" s="57"/>
      <c r="AR1401" s="57"/>
      <c r="AS1401" s="57"/>
      <c r="AT1401" s="57"/>
      <c r="AU1401" s="57"/>
      <c r="AV1401" s="57"/>
      <c r="AW1401" s="57"/>
      <c r="AX1401" s="57"/>
      <c r="AY1401" s="57"/>
      <c r="AZ1401" s="57"/>
      <c r="BA1401" s="57"/>
    </row>
    <row r="1402" spans="3:53" x14ac:dyDescent="0.25">
      <c r="C1402" s="69"/>
      <c r="K1402" s="69"/>
      <c r="L1402" s="69"/>
      <c r="M1402" s="67"/>
      <c r="W1402" s="76"/>
      <c r="X1402" s="57"/>
      <c r="Y1402" s="57"/>
      <c r="Z1402" s="57"/>
      <c r="AA1402" s="57"/>
      <c r="AB1402" s="57"/>
      <c r="AC1402" s="57"/>
      <c r="AD1402" s="57"/>
      <c r="AE1402" s="57"/>
      <c r="AF1402" s="57"/>
      <c r="AG1402" s="57"/>
      <c r="AH1402" s="57"/>
      <c r="AI1402" s="57"/>
      <c r="AJ1402" s="57"/>
      <c r="AK1402" s="57"/>
      <c r="AL1402" s="57"/>
      <c r="AM1402" s="57"/>
      <c r="AN1402" s="57"/>
      <c r="AO1402" s="57"/>
      <c r="AP1402" s="57"/>
      <c r="AQ1402" s="57"/>
      <c r="AR1402" s="57"/>
      <c r="AS1402" s="57"/>
      <c r="AT1402" s="57"/>
      <c r="AU1402" s="57"/>
      <c r="AV1402" s="57"/>
      <c r="AW1402" s="57"/>
      <c r="AX1402" s="57"/>
      <c r="AY1402" s="57"/>
      <c r="AZ1402" s="57"/>
      <c r="BA1402" s="57"/>
    </row>
    <row r="1403" spans="3:53" x14ac:dyDescent="0.25">
      <c r="C1403" s="69"/>
      <c r="K1403" s="69"/>
      <c r="L1403" s="69"/>
      <c r="M1403" s="67"/>
      <c r="W1403" s="76"/>
      <c r="X1403" s="57"/>
      <c r="Y1403" s="57"/>
      <c r="Z1403" s="57"/>
      <c r="AA1403" s="57"/>
      <c r="AB1403" s="57"/>
      <c r="AC1403" s="57"/>
      <c r="AD1403" s="57"/>
      <c r="AE1403" s="57"/>
      <c r="AF1403" s="57"/>
      <c r="AG1403" s="57"/>
      <c r="AH1403" s="57"/>
      <c r="AI1403" s="57"/>
      <c r="AJ1403" s="57"/>
      <c r="AK1403" s="57"/>
      <c r="AL1403" s="57"/>
      <c r="AM1403" s="57"/>
      <c r="AN1403" s="57"/>
      <c r="AO1403" s="57"/>
      <c r="AP1403" s="57"/>
      <c r="AQ1403" s="57"/>
      <c r="AR1403" s="57"/>
      <c r="AS1403" s="57"/>
      <c r="AT1403" s="57"/>
      <c r="AU1403" s="57"/>
      <c r="AV1403" s="57"/>
      <c r="AW1403" s="57"/>
      <c r="AX1403" s="57"/>
      <c r="AY1403" s="57"/>
      <c r="AZ1403" s="57"/>
      <c r="BA1403" s="57"/>
    </row>
    <row r="1404" spans="3:53" x14ac:dyDescent="0.25">
      <c r="C1404" s="69"/>
      <c r="K1404" s="69"/>
      <c r="L1404" s="69"/>
      <c r="M1404" s="67"/>
      <c r="W1404" s="76"/>
      <c r="X1404" s="57"/>
      <c r="Y1404" s="57"/>
      <c r="Z1404" s="57"/>
      <c r="AA1404" s="57"/>
      <c r="AB1404" s="57"/>
      <c r="AC1404" s="57"/>
      <c r="AD1404" s="57"/>
      <c r="AE1404" s="57"/>
      <c r="AF1404" s="57"/>
      <c r="AG1404" s="57"/>
      <c r="AH1404" s="57"/>
      <c r="AI1404" s="57"/>
      <c r="AJ1404" s="57"/>
      <c r="AK1404" s="57"/>
      <c r="AL1404" s="57"/>
      <c r="AM1404" s="57"/>
      <c r="AN1404" s="57"/>
      <c r="AO1404" s="57"/>
      <c r="AP1404" s="57"/>
      <c r="AQ1404" s="57"/>
      <c r="AR1404" s="57"/>
      <c r="AS1404" s="57"/>
      <c r="AT1404" s="57"/>
      <c r="AU1404" s="57"/>
      <c r="AV1404" s="57"/>
      <c r="AW1404" s="57"/>
      <c r="AX1404" s="57"/>
      <c r="AY1404" s="57"/>
      <c r="AZ1404" s="57"/>
      <c r="BA1404" s="57"/>
    </row>
    <row r="1405" spans="3:53" x14ac:dyDescent="0.25">
      <c r="C1405" s="69"/>
      <c r="K1405" s="69"/>
      <c r="L1405" s="69"/>
      <c r="M1405" s="67"/>
      <c r="W1405" s="76"/>
      <c r="X1405" s="57"/>
      <c r="Y1405" s="57"/>
      <c r="Z1405" s="57"/>
      <c r="AA1405" s="57"/>
      <c r="AB1405" s="57"/>
      <c r="AC1405" s="57"/>
      <c r="AD1405" s="57"/>
      <c r="AE1405" s="57"/>
      <c r="AF1405" s="57"/>
      <c r="AG1405" s="57"/>
      <c r="AH1405" s="57"/>
      <c r="AI1405" s="57"/>
      <c r="AJ1405" s="57"/>
      <c r="AK1405" s="57"/>
      <c r="AL1405" s="57"/>
      <c r="AM1405" s="57"/>
      <c r="AN1405" s="57"/>
      <c r="AO1405" s="57"/>
      <c r="AP1405" s="57"/>
      <c r="AQ1405" s="57"/>
      <c r="AR1405" s="57"/>
      <c r="AS1405" s="57"/>
      <c r="AT1405" s="57"/>
      <c r="AU1405" s="57"/>
      <c r="AV1405" s="57"/>
      <c r="AW1405" s="57"/>
      <c r="AX1405" s="57"/>
      <c r="AY1405" s="57"/>
      <c r="AZ1405" s="57"/>
      <c r="BA1405" s="57"/>
    </row>
    <row r="1406" spans="3:53" x14ac:dyDescent="0.25">
      <c r="C1406" s="71"/>
      <c r="K1406" s="71"/>
      <c r="L1406" s="71"/>
      <c r="M1406" s="67"/>
      <c r="W1406" s="76"/>
      <c r="X1406" s="57"/>
      <c r="Y1406" s="57"/>
      <c r="Z1406" s="57"/>
      <c r="AA1406" s="57"/>
      <c r="AB1406" s="57"/>
      <c r="AC1406" s="57"/>
      <c r="AD1406" s="57"/>
      <c r="AE1406" s="57"/>
      <c r="AF1406" s="57"/>
      <c r="AG1406" s="57"/>
      <c r="AH1406" s="57"/>
      <c r="AI1406" s="57"/>
      <c r="AJ1406" s="57"/>
      <c r="AK1406" s="57"/>
      <c r="AL1406" s="57"/>
      <c r="AM1406" s="57"/>
      <c r="AN1406" s="57"/>
      <c r="AO1406" s="57"/>
      <c r="AP1406" s="57"/>
      <c r="AQ1406" s="57"/>
      <c r="AR1406" s="57"/>
      <c r="AS1406" s="57"/>
      <c r="AT1406" s="57"/>
      <c r="AU1406" s="57"/>
      <c r="AV1406" s="57"/>
      <c r="AW1406" s="57"/>
      <c r="AX1406" s="57"/>
      <c r="AY1406" s="57"/>
      <c r="AZ1406" s="57"/>
      <c r="BA1406" s="57"/>
    </row>
    <row r="1407" spans="3:53" x14ac:dyDescent="0.25">
      <c r="C1407" s="71"/>
      <c r="K1407" s="71"/>
      <c r="L1407" s="71"/>
      <c r="M1407" s="67"/>
      <c r="W1407" s="76"/>
      <c r="X1407" s="57"/>
      <c r="Y1407" s="57"/>
      <c r="Z1407" s="57"/>
      <c r="AA1407" s="57"/>
      <c r="AB1407" s="57"/>
      <c r="AC1407" s="57"/>
      <c r="AD1407" s="57"/>
      <c r="AE1407" s="57"/>
      <c r="AF1407" s="57"/>
      <c r="AG1407" s="57"/>
      <c r="AH1407" s="57"/>
      <c r="AI1407" s="57"/>
      <c r="AJ1407" s="57"/>
      <c r="AK1407" s="57"/>
      <c r="AL1407" s="57"/>
      <c r="AM1407" s="57"/>
      <c r="AN1407" s="57"/>
      <c r="AO1407" s="57"/>
      <c r="AP1407" s="57"/>
      <c r="AQ1407" s="57"/>
      <c r="AR1407" s="57"/>
      <c r="AS1407" s="57"/>
      <c r="AT1407" s="57"/>
      <c r="AU1407" s="57"/>
      <c r="AV1407" s="57"/>
      <c r="AW1407" s="57"/>
      <c r="AX1407" s="57"/>
      <c r="AY1407" s="57"/>
      <c r="AZ1407" s="57"/>
      <c r="BA1407" s="57"/>
    </row>
    <row r="1408" spans="3:53" x14ac:dyDescent="0.25">
      <c r="C1408" s="71"/>
      <c r="K1408" s="71"/>
      <c r="L1408" s="71"/>
      <c r="M1408" s="67"/>
      <c r="W1408" s="76"/>
      <c r="X1408" s="57"/>
      <c r="Y1408" s="57"/>
      <c r="Z1408" s="57"/>
      <c r="AA1408" s="57"/>
      <c r="AB1408" s="57"/>
      <c r="AC1408" s="57"/>
      <c r="AD1408" s="57"/>
      <c r="AE1408" s="57"/>
      <c r="AF1408" s="57"/>
      <c r="AG1408" s="57"/>
      <c r="AH1408" s="57"/>
      <c r="AI1408" s="57"/>
      <c r="AJ1408" s="57"/>
      <c r="AK1408" s="57"/>
      <c r="AL1408" s="57"/>
      <c r="AM1408" s="57"/>
      <c r="AN1408" s="57"/>
      <c r="AO1408" s="57"/>
      <c r="AP1408" s="57"/>
      <c r="AQ1408" s="57"/>
      <c r="AR1408" s="57"/>
      <c r="AS1408" s="57"/>
      <c r="AT1408" s="57"/>
      <c r="AU1408" s="57"/>
      <c r="AV1408" s="57"/>
      <c r="AW1408" s="57"/>
      <c r="AX1408" s="57"/>
      <c r="AY1408" s="57"/>
      <c r="AZ1408" s="57"/>
      <c r="BA1408" s="57"/>
    </row>
    <row r="1409" spans="3:53" x14ac:dyDescent="0.25">
      <c r="C1409" s="71"/>
      <c r="K1409" s="71"/>
      <c r="L1409" s="71"/>
      <c r="M1409" s="67"/>
      <c r="W1409" s="76"/>
      <c r="X1409" s="57"/>
      <c r="Y1409" s="57"/>
      <c r="Z1409" s="57"/>
      <c r="AA1409" s="57"/>
      <c r="AB1409" s="57"/>
      <c r="AC1409" s="57"/>
      <c r="AD1409" s="57"/>
      <c r="AE1409" s="57"/>
      <c r="AF1409" s="57"/>
      <c r="AG1409" s="57"/>
      <c r="AH1409" s="57"/>
      <c r="AI1409" s="57"/>
      <c r="AJ1409" s="57"/>
      <c r="AK1409" s="57"/>
      <c r="AL1409" s="57"/>
      <c r="AM1409" s="57"/>
      <c r="AN1409" s="57"/>
      <c r="AO1409" s="57"/>
      <c r="AP1409" s="57"/>
      <c r="AQ1409" s="57"/>
      <c r="AR1409" s="57"/>
      <c r="AS1409" s="57"/>
      <c r="AT1409" s="57"/>
      <c r="AU1409" s="57"/>
      <c r="AV1409" s="57"/>
      <c r="AW1409" s="57"/>
      <c r="AX1409" s="57"/>
      <c r="AY1409" s="57"/>
      <c r="AZ1409" s="57"/>
      <c r="BA1409" s="57"/>
    </row>
    <row r="1410" spans="3:53" x14ac:dyDescent="0.25">
      <c r="C1410" s="71"/>
      <c r="K1410" s="71"/>
      <c r="L1410" s="71"/>
      <c r="M1410" s="67"/>
      <c r="W1410" s="76"/>
      <c r="X1410" s="57"/>
      <c r="Y1410" s="57"/>
      <c r="Z1410" s="57"/>
      <c r="AA1410" s="57"/>
      <c r="AB1410" s="57"/>
      <c r="AC1410" s="57"/>
      <c r="AD1410" s="57"/>
      <c r="AE1410" s="57"/>
      <c r="AF1410" s="57"/>
      <c r="AG1410" s="57"/>
      <c r="AH1410" s="57"/>
      <c r="AI1410" s="57"/>
      <c r="AJ1410" s="57"/>
      <c r="AK1410" s="57"/>
      <c r="AL1410" s="57"/>
      <c r="AM1410" s="57"/>
      <c r="AN1410" s="57"/>
      <c r="AO1410" s="57"/>
      <c r="AP1410" s="57"/>
      <c r="AQ1410" s="57"/>
      <c r="AR1410" s="57"/>
      <c r="AS1410" s="57"/>
      <c r="AT1410" s="57"/>
      <c r="AU1410" s="57"/>
      <c r="AV1410" s="57"/>
      <c r="AW1410" s="57"/>
      <c r="AX1410" s="57"/>
      <c r="AY1410" s="57"/>
      <c r="AZ1410" s="57"/>
      <c r="BA1410" s="57"/>
    </row>
    <row r="1411" spans="3:53" x14ac:dyDescent="0.25">
      <c r="C1411" s="71"/>
      <c r="K1411" s="71"/>
      <c r="L1411" s="71"/>
      <c r="M1411" s="67"/>
      <c r="W1411" s="76"/>
      <c r="X1411" s="57"/>
      <c r="Y1411" s="57"/>
      <c r="Z1411" s="57"/>
      <c r="AA1411" s="57"/>
      <c r="AB1411" s="57"/>
      <c r="AC1411" s="57"/>
      <c r="AD1411" s="57"/>
      <c r="AE1411" s="57"/>
      <c r="AF1411" s="57"/>
      <c r="AG1411" s="57"/>
      <c r="AH1411" s="57"/>
      <c r="AI1411" s="57"/>
      <c r="AJ1411" s="57"/>
      <c r="AK1411" s="57"/>
      <c r="AL1411" s="57"/>
      <c r="AM1411" s="57"/>
      <c r="AN1411" s="57"/>
      <c r="AO1411" s="57"/>
      <c r="AP1411" s="57"/>
      <c r="AQ1411" s="57"/>
      <c r="AR1411" s="57"/>
      <c r="AS1411" s="57"/>
      <c r="AT1411" s="57"/>
      <c r="AU1411" s="57"/>
      <c r="AV1411" s="57"/>
      <c r="AW1411" s="57"/>
      <c r="AX1411" s="57"/>
      <c r="AY1411" s="57"/>
      <c r="AZ1411" s="57"/>
      <c r="BA1411" s="57"/>
    </row>
    <row r="1412" spans="3:53" x14ac:dyDescent="0.25">
      <c r="C1412" s="71"/>
      <c r="K1412" s="71"/>
      <c r="L1412" s="71"/>
      <c r="M1412" s="67"/>
      <c r="W1412" s="76"/>
      <c r="X1412" s="57"/>
      <c r="Y1412" s="57"/>
      <c r="Z1412" s="57"/>
      <c r="AA1412" s="57"/>
      <c r="AB1412" s="57"/>
      <c r="AC1412" s="57"/>
      <c r="AD1412" s="57"/>
      <c r="AE1412" s="57"/>
      <c r="AF1412" s="57"/>
      <c r="AG1412" s="57"/>
      <c r="AH1412" s="57"/>
      <c r="AI1412" s="57"/>
      <c r="AJ1412" s="57"/>
      <c r="AK1412" s="57"/>
      <c r="AL1412" s="57"/>
      <c r="AM1412" s="57"/>
      <c r="AN1412" s="57"/>
      <c r="AO1412" s="57"/>
      <c r="AP1412" s="57"/>
      <c r="AQ1412" s="57"/>
      <c r="AR1412" s="57"/>
      <c r="AS1412" s="57"/>
      <c r="AT1412" s="57"/>
      <c r="AU1412" s="57"/>
      <c r="AV1412" s="57"/>
      <c r="AW1412" s="57"/>
      <c r="AX1412" s="57"/>
      <c r="AY1412" s="57"/>
      <c r="AZ1412" s="57"/>
      <c r="BA1412" s="57"/>
    </row>
    <row r="1413" spans="3:53" x14ac:dyDescent="0.25">
      <c r="C1413" s="71"/>
      <c r="K1413" s="71"/>
      <c r="L1413" s="71"/>
      <c r="M1413" s="67"/>
      <c r="W1413" s="76"/>
      <c r="X1413" s="57"/>
      <c r="Y1413" s="57"/>
      <c r="Z1413" s="57"/>
      <c r="AA1413" s="57"/>
      <c r="AB1413" s="57"/>
      <c r="AC1413" s="57"/>
      <c r="AD1413" s="57"/>
      <c r="AE1413" s="57"/>
      <c r="AF1413" s="57"/>
      <c r="AG1413" s="57"/>
      <c r="AH1413" s="57"/>
      <c r="AI1413" s="57"/>
      <c r="AJ1413" s="57"/>
      <c r="AK1413" s="57"/>
      <c r="AL1413" s="57"/>
      <c r="AM1413" s="57"/>
      <c r="AN1413" s="57"/>
      <c r="AO1413" s="57"/>
      <c r="AP1413" s="57"/>
      <c r="AQ1413" s="57"/>
      <c r="AR1413" s="57"/>
      <c r="AS1413" s="57"/>
      <c r="AT1413" s="57"/>
      <c r="AU1413" s="57"/>
      <c r="AV1413" s="57"/>
      <c r="AW1413" s="57"/>
      <c r="AX1413" s="57"/>
      <c r="AY1413" s="57"/>
      <c r="AZ1413" s="57"/>
      <c r="BA1413" s="57"/>
    </row>
    <row r="1414" spans="3:53" x14ac:dyDescent="0.25">
      <c r="C1414" s="71"/>
      <c r="K1414" s="71"/>
      <c r="L1414" s="71"/>
      <c r="M1414" s="67"/>
      <c r="W1414" s="76"/>
      <c r="X1414" s="57"/>
      <c r="Y1414" s="57"/>
      <c r="Z1414" s="57"/>
      <c r="AA1414" s="57"/>
      <c r="AB1414" s="57"/>
      <c r="AC1414" s="57"/>
      <c r="AD1414" s="57"/>
      <c r="AE1414" s="57"/>
      <c r="AF1414" s="57"/>
      <c r="AG1414" s="57"/>
      <c r="AH1414" s="57"/>
      <c r="AI1414" s="57"/>
      <c r="AJ1414" s="57"/>
      <c r="AK1414" s="57"/>
      <c r="AL1414" s="57"/>
      <c r="AM1414" s="57"/>
      <c r="AN1414" s="57"/>
      <c r="AO1414" s="57"/>
      <c r="AP1414" s="57"/>
      <c r="AQ1414" s="57"/>
      <c r="AR1414" s="57"/>
      <c r="AS1414" s="57"/>
      <c r="AT1414" s="57"/>
      <c r="AU1414" s="57"/>
      <c r="AV1414" s="57"/>
      <c r="AW1414" s="57"/>
      <c r="AX1414" s="57"/>
      <c r="AY1414" s="57"/>
      <c r="AZ1414" s="57"/>
      <c r="BA1414" s="57"/>
    </row>
    <row r="1415" spans="3:53" x14ac:dyDescent="0.25">
      <c r="C1415" s="71"/>
      <c r="K1415" s="71"/>
      <c r="L1415" s="71"/>
      <c r="M1415" s="67"/>
      <c r="W1415" s="76"/>
      <c r="X1415" s="57"/>
      <c r="Y1415" s="57"/>
      <c r="Z1415" s="57"/>
      <c r="AA1415" s="57"/>
      <c r="AB1415" s="57"/>
      <c r="AC1415" s="57"/>
      <c r="AD1415" s="57"/>
      <c r="AE1415" s="57"/>
      <c r="AF1415" s="57"/>
      <c r="AG1415" s="57"/>
      <c r="AH1415" s="57"/>
      <c r="AI1415" s="57"/>
      <c r="AJ1415" s="57"/>
      <c r="AK1415" s="57"/>
      <c r="AL1415" s="57"/>
      <c r="AM1415" s="57"/>
      <c r="AN1415" s="57"/>
      <c r="AO1415" s="57"/>
      <c r="AP1415" s="57"/>
      <c r="AQ1415" s="57"/>
      <c r="AR1415" s="57"/>
      <c r="AS1415" s="57"/>
      <c r="AT1415" s="57"/>
      <c r="AU1415" s="57"/>
      <c r="AV1415" s="57"/>
      <c r="AW1415" s="57"/>
      <c r="AX1415" s="57"/>
      <c r="AY1415" s="57"/>
      <c r="AZ1415" s="57"/>
      <c r="BA1415" s="57"/>
    </row>
    <row r="1416" spans="3:53" x14ac:dyDescent="0.25">
      <c r="C1416" s="71"/>
      <c r="K1416" s="71"/>
      <c r="L1416" s="71"/>
      <c r="M1416" s="67"/>
      <c r="W1416" s="76"/>
      <c r="X1416" s="57"/>
      <c r="Y1416" s="57"/>
      <c r="Z1416" s="57"/>
      <c r="AA1416" s="57"/>
      <c r="AB1416" s="57"/>
      <c r="AC1416" s="57"/>
      <c r="AD1416" s="57"/>
      <c r="AE1416" s="57"/>
      <c r="AF1416" s="57"/>
      <c r="AG1416" s="57"/>
      <c r="AH1416" s="57"/>
      <c r="AI1416" s="57"/>
      <c r="AJ1416" s="57"/>
      <c r="AK1416" s="57"/>
      <c r="AL1416" s="57"/>
      <c r="AM1416" s="57"/>
      <c r="AN1416" s="57"/>
      <c r="AO1416" s="57"/>
      <c r="AP1416" s="57"/>
      <c r="AQ1416" s="57"/>
      <c r="AR1416" s="57"/>
      <c r="AS1416" s="57"/>
      <c r="AT1416" s="57"/>
      <c r="AU1416" s="57"/>
      <c r="AV1416" s="57"/>
      <c r="AW1416" s="57"/>
      <c r="AX1416" s="57"/>
      <c r="AY1416" s="57"/>
      <c r="AZ1416" s="57"/>
      <c r="BA1416" s="57"/>
    </row>
    <row r="1417" spans="3:53" x14ac:dyDescent="0.25">
      <c r="C1417" s="71"/>
      <c r="K1417" s="71"/>
      <c r="L1417" s="71"/>
      <c r="M1417" s="67"/>
      <c r="W1417" s="76"/>
      <c r="X1417" s="57"/>
      <c r="Y1417" s="57"/>
      <c r="Z1417" s="57"/>
      <c r="AA1417" s="57"/>
      <c r="AB1417" s="57"/>
      <c r="AC1417" s="57"/>
      <c r="AD1417" s="57"/>
      <c r="AE1417" s="57"/>
      <c r="AF1417" s="57"/>
      <c r="AG1417" s="57"/>
      <c r="AH1417" s="57"/>
      <c r="AI1417" s="57"/>
      <c r="AJ1417" s="57"/>
      <c r="AK1417" s="57"/>
      <c r="AL1417" s="57"/>
      <c r="AM1417" s="57"/>
      <c r="AN1417" s="57"/>
      <c r="AO1417" s="57"/>
      <c r="AP1417" s="57"/>
      <c r="AQ1417" s="57"/>
      <c r="AR1417" s="57"/>
      <c r="AS1417" s="57"/>
      <c r="AT1417" s="57"/>
      <c r="AU1417" s="57"/>
      <c r="AV1417" s="57"/>
      <c r="AW1417" s="57"/>
      <c r="AX1417" s="57"/>
      <c r="AY1417" s="57"/>
      <c r="AZ1417" s="57"/>
      <c r="BA1417" s="57"/>
    </row>
    <row r="1418" spans="3:53" x14ac:dyDescent="0.25">
      <c r="C1418" s="71"/>
      <c r="K1418" s="71"/>
      <c r="L1418" s="71"/>
      <c r="M1418" s="67"/>
      <c r="W1418" s="76"/>
      <c r="X1418" s="57"/>
      <c r="Y1418" s="57"/>
      <c r="Z1418" s="57"/>
      <c r="AA1418" s="57"/>
      <c r="AB1418" s="57"/>
      <c r="AC1418" s="57"/>
      <c r="AD1418" s="57"/>
      <c r="AE1418" s="57"/>
      <c r="AF1418" s="57"/>
      <c r="AG1418" s="57"/>
      <c r="AH1418" s="57"/>
      <c r="AI1418" s="57"/>
      <c r="AJ1418" s="57"/>
      <c r="AK1418" s="57"/>
      <c r="AL1418" s="57"/>
      <c r="AM1418" s="57"/>
      <c r="AN1418" s="57"/>
      <c r="AO1418" s="57"/>
      <c r="AP1418" s="57"/>
      <c r="AQ1418" s="57"/>
      <c r="AR1418" s="57"/>
      <c r="AS1418" s="57"/>
      <c r="AT1418" s="57"/>
      <c r="AU1418" s="57"/>
      <c r="AV1418" s="57"/>
      <c r="AW1418" s="57"/>
      <c r="AX1418" s="57"/>
      <c r="AY1418" s="57"/>
      <c r="AZ1418" s="57"/>
      <c r="BA1418" s="57"/>
    </row>
    <row r="1419" spans="3:53" x14ac:dyDescent="0.25">
      <c r="C1419" s="71"/>
      <c r="K1419" s="71"/>
      <c r="L1419" s="71"/>
      <c r="M1419" s="67"/>
      <c r="W1419" s="76"/>
      <c r="X1419" s="57"/>
      <c r="Y1419" s="57"/>
      <c r="Z1419" s="57"/>
      <c r="AA1419" s="57"/>
      <c r="AB1419" s="57"/>
      <c r="AC1419" s="57"/>
      <c r="AD1419" s="57"/>
      <c r="AE1419" s="57"/>
      <c r="AF1419" s="57"/>
      <c r="AG1419" s="57"/>
      <c r="AH1419" s="57"/>
      <c r="AI1419" s="57"/>
      <c r="AJ1419" s="57"/>
      <c r="AK1419" s="57"/>
      <c r="AL1419" s="57"/>
      <c r="AM1419" s="57"/>
      <c r="AN1419" s="57"/>
      <c r="AO1419" s="57"/>
      <c r="AP1419" s="57"/>
      <c r="AQ1419" s="57"/>
      <c r="AR1419" s="57"/>
      <c r="AS1419" s="57"/>
      <c r="AT1419" s="57"/>
      <c r="AU1419" s="57"/>
      <c r="AV1419" s="57"/>
      <c r="AW1419" s="57"/>
      <c r="AX1419" s="57"/>
      <c r="AY1419" s="57"/>
      <c r="AZ1419" s="57"/>
      <c r="BA1419" s="57"/>
    </row>
    <row r="1420" spans="3:53" x14ac:dyDescent="0.25">
      <c r="C1420" s="71"/>
      <c r="K1420" s="71"/>
      <c r="L1420" s="71"/>
      <c r="M1420" s="67"/>
      <c r="W1420" s="76"/>
      <c r="X1420" s="57"/>
      <c r="Y1420" s="57"/>
      <c r="Z1420" s="57"/>
      <c r="AA1420" s="57"/>
      <c r="AB1420" s="57"/>
      <c r="AC1420" s="57"/>
      <c r="AD1420" s="57"/>
      <c r="AE1420" s="57"/>
      <c r="AF1420" s="57"/>
      <c r="AG1420" s="57"/>
      <c r="AH1420" s="57"/>
      <c r="AI1420" s="57"/>
      <c r="AJ1420" s="57"/>
      <c r="AK1420" s="57"/>
      <c r="AL1420" s="57"/>
      <c r="AM1420" s="57"/>
      <c r="AN1420" s="57"/>
      <c r="AO1420" s="57"/>
      <c r="AP1420" s="57"/>
      <c r="AQ1420" s="57"/>
      <c r="AR1420" s="57"/>
      <c r="AS1420" s="57"/>
      <c r="AT1420" s="57"/>
      <c r="AU1420" s="57"/>
      <c r="AV1420" s="57"/>
      <c r="AW1420" s="57"/>
      <c r="AX1420" s="57"/>
      <c r="AY1420" s="57"/>
      <c r="AZ1420" s="57"/>
      <c r="BA1420" s="57"/>
    </row>
    <row r="1421" spans="3:53" x14ac:dyDescent="0.25">
      <c r="C1421" s="71"/>
      <c r="K1421" s="71"/>
      <c r="L1421" s="71"/>
      <c r="M1421" s="67"/>
      <c r="W1421" s="76"/>
      <c r="X1421" s="57"/>
      <c r="Y1421" s="57"/>
      <c r="Z1421" s="57"/>
      <c r="AA1421" s="57"/>
      <c r="AB1421" s="57"/>
      <c r="AC1421" s="57"/>
      <c r="AD1421" s="57"/>
      <c r="AE1421" s="57"/>
      <c r="AF1421" s="57"/>
      <c r="AG1421" s="57"/>
      <c r="AH1421" s="57"/>
      <c r="AI1421" s="57"/>
      <c r="AJ1421" s="57"/>
      <c r="AK1421" s="57"/>
      <c r="AL1421" s="57"/>
      <c r="AM1421" s="57"/>
      <c r="AN1421" s="57"/>
      <c r="AO1421" s="57"/>
      <c r="AP1421" s="57"/>
      <c r="AQ1421" s="57"/>
      <c r="AR1421" s="57"/>
      <c r="AS1421" s="57"/>
      <c r="AT1421" s="57"/>
      <c r="AU1421" s="57"/>
      <c r="AV1421" s="57"/>
      <c r="AW1421" s="57"/>
      <c r="AX1421" s="57"/>
      <c r="AY1421" s="57"/>
      <c r="AZ1421" s="57"/>
      <c r="BA1421" s="57"/>
    </row>
    <row r="1422" spans="3:53" x14ac:dyDescent="0.25">
      <c r="C1422" s="71"/>
      <c r="K1422" s="71"/>
      <c r="L1422" s="71"/>
      <c r="M1422" s="67"/>
      <c r="W1422" s="76"/>
      <c r="X1422" s="57"/>
      <c r="Y1422" s="57"/>
      <c r="Z1422" s="57"/>
      <c r="AA1422" s="57"/>
      <c r="AB1422" s="57"/>
      <c r="AC1422" s="57"/>
      <c r="AD1422" s="57"/>
      <c r="AE1422" s="57"/>
      <c r="AF1422" s="57"/>
      <c r="AG1422" s="57"/>
      <c r="AH1422" s="57"/>
      <c r="AI1422" s="57"/>
      <c r="AJ1422" s="57"/>
      <c r="AK1422" s="57"/>
      <c r="AL1422" s="57"/>
      <c r="AM1422" s="57"/>
      <c r="AN1422" s="57"/>
      <c r="AO1422" s="57"/>
      <c r="AP1422" s="57"/>
      <c r="AQ1422" s="57"/>
      <c r="AR1422" s="57"/>
      <c r="AS1422" s="57"/>
      <c r="AT1422" s="57"/>
      <c r="AU1422" s="57"/>
      <c r="AV1422" s="57"/>
      <c r="AW1422" s="57"/>
      <c r="AX1422" s="57"/>
      <c r="AY1422" s="57"/>
      <c r="AZ1422" s="57"/>
      <c r="BA1422" s="57"/>
    </row>
    <row r="1423" spans="3:53" x14ac:dyDescent="0.25">
      <c r="C1423" s="71"/>
      <c r="K1423" s="71"/>
      <c r="L1423" s="71"/>
      <c r="M1423" s="67"/>
      <c r="W1423" s="76"/>
      <c r="X1423" s="57"/>
      <c r="Y1423" s="57"/>
      <c r="Z1423" s="57"/>
      <c r="AA1423" s="57"/>
      <c r="AB1423" s="57"/>
      <c r="AC1423" s="57"/>
      <c r="AD1423" s="57"/>
      <c r="AE1423" s="57"/>
      <c r="AF1423" s="57"/>
      <c r="AG1423" s="57"/>
      <c r="AH1423" s="57"/>
      <c r="AI1423" s="57"/>
      <c r="AJ1423" s="57"/>
      <c r="AK1423" s="57"/>
      <c r="AL1423" s="57"/>
      <c r="AM1423" s="57"/>
      <c r="AN1423" s="57"/>
      <c r="AO1423" s="57"/>
      <c r="AP1423" s="57"/>
      <c r="AQ1423" s="57"/>
      <c r="AR1423" s="57"/>
      <c r="AS1423" s="57"/>
      <c r="AT1423" s="57"/>
      <c r="AU1423" s="57"/>
      <c r="AV1423" s="57"/>
      <c r="AW1423" s="57"/>
      <c r="AX1423" s="57"/>
      <c r="AY1423" s="57"/>
      <c r="AZ1423" s="57"/>
      <c r="BA1423" s="57"/>
    </row>
    <row r="1424" spans="3:53" x14ac:dyDescent="0.25">
      <c r="C1424" s="71"/>
      <c r="K1424" s="71"/>
      <c r="L1424" s="71"/>
      <c r="M1424" s="67"/>
      <c r="W1424" s="76"/>
      <c r="X1424" s="57"/>
      <c r="Y1424" s="57"/>
      <c r="Z1424" s="57"/>
      <c r="AA1424" s="57"/>
      <c r="AB1424" s="57"/>
      <c r="AC1424" s="57"/>
      <c r="AD1424" s="57"/>
      <c r="AE1424" s="57"/>
      <c r="AF1424" s="57"/>
      <c r="AG1424" s="57"/>
      <c r="AH1424" s="57"/>
      <c r="AI1424" s="57"/>
      <c r="AJ1424" s="57"/>
      <c r="AK1424" s="57"/>
      <c r="AL1424" s="57"/>
      <c r="AM1424" s="57"/>
      <c r="AN1424" s="57"/>
      <c r="AO1424" s="57"/>
      <c r="AP1424" s="57"/>
      <c r="AQ1424" s="57"/>
      <c r="AR1424" s="57"/>
      <c r="AS1424" s="57"/>
      <c r="AT1424" s="57"/>
      <c r="AU1424" s="57"/>
      <c r="AV1424" s="57"/>
      <c r="AW1424" s="57"/>
      <c r="AX1424" s="57"/>
      <c r="AY1424" s="57"/>
      <c r="AZ1424" s="57"/>
      <c r="BA1424" s="57"/>
    </row>
    <row r="1425" spans="3:53" x14ac:dyDescent="0.25">
      <c r="C1425" s="71"/>
      <c r="K1425" s="71"/>
      <c r="L1425" s="71"/>
      <c r="M1425" s="67"/>
      <c r="W1425" s="76"/>
      <c r="X1425" s="57"/>
      <c r="Y1425" s="57"/>
      <c r="Z1425" s="57"/>
      <c r="AA1425" s="57"/>
      <c r="AB1425" s="57"/>
      <c r="AC1425" s="57"/>
      <c r="AD1425" s="57"/>
      <c r="AE1425" s="57"/>
      <c r="AF1425" s="57"/>
      <c r="AG1425" s="57"/>
      <c r="AH1425" s="57"/>
      <c r="AI1425" s="57"/>
      <c r="AJ1425" s="57"/>
      <c r="AK1425" s="57"/>
      <c r="AL1425" s="57"/>
      <c r="AM1425" s="57"/>
      <c r="AN1425" s="57"/>
      <c r="AO1425" s="57"/>
      <c r="AP1425" s="57"/>
      <c r="AQ1425" s="57"/>
      <c r="AR1425" s="57"/>
      <c r="AS1425" s="57"/>
      <c r="AT1425" s="57"/>
      <c r="AU1425" s="57"/>
      <c r="AV1425" s="57"/>
      <c r="AW1425" s="57"/>
      <c r="AX1425" s="57"/>
      <c r="AY1425" s="57"/>
      <c r="AZ1425" s="57"/>
      <c r="BA1425" s="57"/>
    </row>
    <row r="1426" spans="3:53" x14ac:dyDescent="0.25">
      <c r="C1426" s="71"/>
      <c r="K1426" s="71"/>
      <c r="L1426" s="71"/>
      <c r="M1426" s="67"/>
      <c r="W1426" s="76"/>
      <c r="X1426" s="57"/>
      <c r="Y1426" s="57"/>
      <c r="Z1426" s="57"/>
      <c r="AA1426" s="57"/>
      <c r="AB1426" s="57"/>
      <c r="AC1426" s="57"/>
      <c r="AD1426" s="57"/>
      <c r="AE1426" s="57"/>
      <c r="AF1426" s="57"/>
      <c r="AG1426" s="57"/>
      <c r="AH1426" s="57"/>
      <c r="AI1426" s="57"/>
      <c r="AJ1426" s="57"/>
      <c r="AK1426" s="57"/>
      <c r="AL1426" s="57"/>
      <c r="AM1426" s="57"/>
      <c r="AN1426" s="57"/>
      <c r="AO1426" s="57"/>
      <c r="AP1426" s="57"/>
      <c r="AQ1426" s="57"/>
      <c r="AR1426" s="57"/>
      <c r="AS1426" s="57"/>
      <c r="AT1426" s="57"/>
      <c r="AU1426" s="57"/>
      <c r="AV1426" s="57"/>
      <c r="AW1426" s="57"/>
      <c r="AX1426" s="57"/>
      <c r="AY1426" s="57"/>
      <c r="AZ1426" s="57"/>
      <c r="BA1426" s="57"/>
    </row>
    <row r="1427" spans="3:53" x14ac:dyDescent="0.25">
      <c r="C1427" s="71"/>
      <c r="K1427" s="71"/>
      <c r="L1427" s="71"/>
      <c r="M1427" s="67"/>
      <c r="W1427" s="76"/>
      <c r="X1427" s="57"/>
      <c r="Y1427" s="57"/>
      <c r="Z1427" s="57"/>
      <c r="AA1427" s="57"/>
      <c r="AB1427" s="57"/>
      <c r="AC1427" s="57"/>
      <c r="AD1427" s="57"/>
      <c r="AE1427" s="57"/>
      <c r="AF1427" s="57"/>
      <c r="AG1427" s="57"/>
      <c r="AH1427" s="57"/>
      <c r="AI1427" s="57"/>
      <c r="AJ1427" s="57"/>
      <c r="AK1427" s="57"/>
      <c r="AL1427" s="57"/>
      <c r="AM1427" s="57"/>
      <c r="AN1427" s="57"/>
      <c r="AO1427" s="57"/>
      <c r="AP1427" s="57"/>
      <c r="AQ1427" s="57"/>
      <c r="AR1427" s="57"/>
      <c r="AS1427" s="57"/>
      <c r="AT1427" s="57"/>
      <c r="AU1427" s="57"/>
      <c r="AV1427" s="57"/>
      <c r="AW1427" s="57"/>
      <c r="AX1427" s="57"/>
      <c r="AY1427" s="57"/>
      <c r="AZ1427" s="57"/>
      <c r="BA1427" s="57"/>
    </row>
    <row r="1428" spans="3:53" x14ac:dyDescent="0.25">
      <c r="C1428" s="71"/>
      <c r="K1428" s="71"/>
      <c r="L1428" s="71"/>
      <c r="M1428" s="67"/>
    </row>
    <row r="1429" spans="3:53" x14ac:dyDescent="0.25">
      <c r="C1429" s="71"/>
      <c r="K1429" s="71"/>
      <c r="L1429" s="71"/>
      <c r="M1429" s="67"/>
    </row>
    <row r="1430" spans="3:53" x14ac:dyDescent="0.25">
      <c r="C1430" s="71"/>
      <c r="K1430" s="71"/>
      <c r="L1430" s="71"/>
      <c r="M1430" s="67"/>
    </row>
    <row r="1431" spans="3:53" x14ac:dyDescent="0.25">
      <c r="C1431" s="71"/>
      <c r="K1431" s="71"/>
      <c r="L1431" s="71"/>
      <c r="M1431" s="67"/>
    </row>
    <row r="1432" spans="3:53" x14ac:dyDescent="0.25">
      <c r="C1432" s="71"/>
      <c r="K1432" s="71"/>
      <c r="L1432" s="71"/>
      <c r="M1432" s="67"/>
    </row>
    <row r="1433" spans="3:53" x14ac:dyDescent="0.25">
      <c r="C1433" s="71"/>
      <c r="K1433" s="71"/>
      <c r="L1433" s="71"/>
      <c r="M1433" s="67"/>
    </row>
    <row r="1434" spans="3:53" x14ac:dyDescent="0.25">
      <c r="C1434" s="71"/>
      <c r="K1434" s="71"/>
      <c r="L1434" s="71"/>
      <c r="M1434" s="67"/>
    </row>
    <row r="1435" spans="3:53" x14ac:dyDescent="0.25">
      <c r="C1435" s="71"/>
      <c r="K1435" s="71"/>
      <c r="L1435" s="71"/>
      <c r="M1435" s="67"/>
    </row>
    <row r="1436" spans="3:53" x14ac:dyDescent="0.25">
      <c r="C1436" s="71"/>
      <c r="K1436" s="71"/>
      <c r="L1436" s="71"/>
      <c r="M1436" s="67"/>
    </row>
    <row r="1437" spans="3:53" x14ac:dyDescent="0.25">
      <c r="C1437" s="71"/>
      <c r="K1437" s="71"/>
      <c r="L1437" s="71"/>
      <c r="M1437" s="67"/>
    </row>
    <row r="1438" spans="3:53" x14ac:dyDescent="0.25">
      <c r="C1438" s="71"/>
      <c r="K1438" s="71"/>
      <c r="L1438" s="71"/>
      <c r="M1438" s="67"/>
    </row>
    <row r="1439" spans="3:53" x14ac:dyDescent="0.25">
      <c r="C1439" s="71"/>
      <c r="K1439" s="71"/>
      <c r="L1439" s="71"/>
      <c r="M1439" s="67"/>
    </row>
    <row r="1440" spans="3:53" x14ac:dyDescent="0.25">
      <c r="C1440" s="71"/>
      <c r="K1440" s="71"/>
      <c r="L1440" s="71"/>
      <c r="M1440" s="67"/>
    </row>
    <row r="1441" spans="3:13" x14ac:dyDescent="0.25">
      <c r="C1441" s="71"/>
      <c r="K1441" s="71"/>
      <c r="L1441" s="71"/>
      <c r="M1441" s="67"/>
    </row>
    <row r="1442" spans="3:13" x14ac:dyDescent="0.25">
      <c r="C1442" s="71"/>
      <c r="K1442" s="71"/>
      <c r="L1442" s="71"/>
      <c r="M1442" s="67"/>
    </row>
    <row r="1443" spans="3:13" x14ac:dyDescent="0.25">
      <c r="C1443" s="71"/>
      <c r="K1443" s="71"/>
      <c r="L1443" s="71"/>
      <c r="M1443" s="67"/>
    </row>
    <row r="1444" spans="3:13" x14ac:dyDescent="0.25">
      <c r="C1444" s="71"/>
      <c r="K1444" s="71"/>
      <c r="L1444" s="71"/>
      <c r="M1444" s="67"/>
    </row>
    <row r="1445" spans="3:13" x14ac:dyDescent="0.25">
      <c r="C1445" s="71"/>
      <c r="K1445" s="71"/>
      <c r="L1445" s="71"/>
      <c r="M1445" s="67"/>
    </row>
    <row r="1446" spans="3:13" x14ac:dyDescent="0.25">
      <c r="C1446" s="71"/>
      <c r="K1446" s="71"/>
      <c r="L1446" s="71"/>
      <c r="M1446" s="67"/>
    </row>
    <row r="1447" spans="3:13" x14ac:dyDescent="0.25">
      <c r="C1447" s="71"/>
      <c r="K1447" s="71"/>
      <c r="L1447" s="71"/>
      <c r="M1447" s="67"/>
    </row>
    <row r="1448" spans="3:13" x14ac:dyDescent="0.25">
      <c r="C1448" s="71"/>
      <c r="K1448" s="71"/>
      <c r="L1448" s="71"/>
      <c r="M1448" s="67"/>
    </row>
    <row r="1449" spans="3:13" x14ac:dyDescent="0.25">
      <c r="C1449" s="71"/>
      <c r="K1449" s="71"/>
      <c r="L1449" s="71"/>
      <c r="M1449" s="67"/>
    </row>
    <row r="1450" spans="3:13" x14ac:dyDescent="0.25">
      <c r="C1450" s="71"/>
      <c r="K1450" s="71"/>
      <c r="L1450" s="71"/>
      <c r="M1450" s="67"/>
    </row>
    <row r="1451" spans="3:13" x14ac:dyDescent="0.25">
      <c r="C1451" s="71"/>
      <c r="K1451" s="71"/>
      <c r="L1451" s="71"/>
      <c r="M1451" s="67"/>
    </row>
    <row r="1452" spans="3:13" x14ac:dyDescent="0.25">
      <c r="C1452" s="71"/>
      <c r="K1452" s="71"/>
      <c r="L1452" s="71"/>
      <c r="M1452" s="67"/>
    </row>
    <row r="1453" spans="3:13" x14ac:dyDescent="0.25">
      <c r="C1453" s="71"/>
      <c r="K1453" s="71"/>
      <c r="L1453" s="71"/>
      <c r="M1453" s="67"/>
    </row>
    <row r="1454" spans="3:13" x14ac:dyDescent="0.25">
      <c r="C1454" s="71"/>
      <c r="K1454" s="71"/>
      <c r="L1454" s="71"/>
      <c r="M1454" s="67"/>
    </row>
    <row r="1455" spans="3:13" x14ac:dyDescent="0.25">
      <c r="C1455" s="71"/>
      <c r="K1455" s="71"/>
      <c r="L1455" s="71"/>
      <c r="M1455" s="67"/>
    </row>
    <row r="1456" spans="3:13" x14ac:dyDescent="0.25">
      <c r="C1456" s="71"/>
      <c r="K1456" s="71"/>
      <c r="L1456" s="71"/>
      <c r="M1456" s="67"/>
    </row>
    <row r="1457" spans="3:13" x14ac:dyDescent="0.25">
      <c r="C1457" s="71"/>
      <c r="K1457" s="71"/>
      <c r="L1457" s="71"/>
      <c r="M1457" s="67"/>
    </row>
    <row r="1458" spans="3:13" x14ac:dyDescent="0.25">
      <c r="C1458" s="71"/>
      <c r="K1458" s="71"/>
      <c r="L1458" s="71"/>
      <c r="M1458" s="67"/>
    </row>
    <row r="1459" spans="3:13" x14ac:dyDescent="0.25">
      <c r="C1459" s="71"/>
      <c r="K1459" s="71"/>
      <c r="L1459" s="71"/>
      <c r="M1459" s="67"/>
    </row>
    <row r="1460" spans="3:13" x14ac:dyDescent="0.25">
      <c r="C1460" s="71"/>
      <c r="K1460" s="71"/>
      <c r="L1460" s="71"/>
      <c r="M1460" s="67"/>
    </row>
    <row r="1461" spans="3:13" x14ac:dyDescent="0.25">
      <c r="C1461" s="71"/>
      <c r="K1461" s="71"/>
      <c r="L1461" s="71"/>
      <c r="M1461" s="67"/>
    </row>
    <row r="1462" spans="3:13" x14ac:dyDescent="0.25">
      <c r="C1462" s="71"/>
      <c r="K1462" s="71"/>
      <c r="L1462" s="71"/>
      <c r="M1462" s="67"/>
    </row>
    <row r="1463" spans="3:13" x14ac:dyDescent="0.25">
      <c r="C1463" s="71"/>
      <c r="K1463" s="71"/>
      <c r="L1463" s="71"/>
      <c r="M1463" s="67"/>
    </row>
    <row r="1464" spans="3:13" x14ac:dyDescent="0.25">
      <c r="C1464" s="71"/>
      <c r="K1464" s="71"/>
      <c r="L1464" s="71"/>
      <c r="M1464" s="67"/>
    </row>
    <row r="1465" spans="3:13" x14ac:dyDescent="0.25">
      <c r="C1465" s="71"/>
      <c r="K1465" s="71"/>
      <c r="L1465" s="71"/>
      <c r="M1465" s="67"/>
    </row>
    <row r="1466" spans="3:13" x14ac:dyDescent="0.25">
      <c r="C1466" s="71"/>
      <c r="K1466" s="71"/>
      <c r="L1466" s="71"/>
      <c r="M1466" s="67"/>
    </row>
    <row r="1467" spans="3:13" x14ac:dyDescent="0.25">
      <c r="C1467" s="71"/>
      <c r="K1467" s="71"/>
      <c r="L1467" s="71"/>
      <c r="M1467" s="67"/>
    </row>
    <row r="1468" spans="3:13" x14ac:dyDescent="0.25">
      <c r="C1468" s="71"/>
      <c r="K1468" s="71"/>
      <c r="L1468" s="71"/>
      <c r="M1468" s="67"/>
    </row>
    <row r="1469" spans="3:13" x14ac:dyDescent="0.25">
      <c r="C1469" s="71"/>
      <c r="K1469" s="71"/>
      <c r="L1469" s="71"/>
      <c r="M1469" s="67"/>
    </row>
    <row r="1470" spans="3:13" x14ac:dyDescent="0.25">
      <c r="C1470" s="71"/>
      <c r="K1470" s="71"/>
      <c r="L1470" s="71"/>
      <c r="M1470" s="67"/>
    </row>
    <row r="1471" spans="3:13" x14ac:dyDescent="0.25">
      <c r="C1471" s="71"/>
      <c r="K1471" s="71"/>
      <c r="L1471" s="71"/>
      <c r="M1471" s="67"/>
    </row>
    <row r="1472" spans="3:13" x14ac:dyDescent="0.25">
      <c r="C1472" s="71"/>
      <c r="K1472" s="71"/>
      <c r="L1472" s="71"/>
      <c r="M1472" s="67"/>
    </row>
    <row r="1473" spans="3:13" x14ac:dyDescent="0.25">
      <c r="C1473" s="71"/>
      <c r="K1473" s="71"/>
      <c r="L1473" s="71"/>
      <c r="M1473" s="67"/>
    </row>
    <row r="1474" spans="3:13" x14ac:dyDescent="0.25">
      <c r="C1474" s="71"/>
      <c r="K1474" s="71"/>
      <c r="L1474" s="71"/>
      <c r="M1474" s="67"/>
    </row>
    <row r="1475" spans="3:13" x14ac:dyDescent="0.25">
      <c r="C1475" s="71"/>
      <c r="K1475" s="71"/>
      <c r="L1475" s="71"/>
      <c r="M1475" s="67"/>
    </row>
    <row r="1476" spans="3:13" x14ac:dyDescent="0.25">
      <c r="C1476" s="71"/>
      <c r="K1476" s="71"/>
      <c r="L1476" s="71"/>
      <c r="M1476" s="67"/>
    </row>
    <row r="1477" spans="3:13" x14ac:dyDescent="0.25">
      <c r="C1477" s="71"/>
      <c r="K1477" s="71"/>
      <c r="L1477" s="71"/>
      <c r="M1477" s="67"/>
    </row>
    <row r="1478" spans="3:13" x14ac:dyDescent="0.25">
      <c r="C1478" s="71"/>
      <c r="K1478" s="71"/>
      <c r="L1478" s="71"/>
      <c r="M1478" s="67"/>
    </row>
    <row r="1479" spans="3:13" x14ac:dyDescent="0.25">
      <c r="C1479" s="71"/>
      <c r="K1479" s="71"/>
      <c r="L1479" s="71"/>
      <c r="M1479" s="67"/>
    </row>
    <row r="1480" spans="3:13" x14ac:dyDescent="0.25">
      <c r="C1480" s="71"/>
      <c r="K1480" s="71"/>
      <c r="L1480" s="71"/>
      <c r="M1480" s="67"/>
    </row>
    <row r="1481" spans="3:13" x14ac:dyDescent="0.25">
      <c r="C1481" s="71"/>
      <c r="K1481" s="71"/>
      <c r="L1481" s="71"/>
      <c r="M1481" s="67"/>
    </row>
    <row r="1482" spans="3:13" x14ac:dyDescent="0.25">
      <c r="C1482" s="71"/>
      <c r="K1482" s="71"/>
      <c r="L1482" s="71"/>
      <c r="M1482" s="67"/>
    </row>
    <row r="1483" spans="3:13" x14ac:dyDescent="0.25">
      <c r="C1483" s="71"/>
      <c r="K1483" s="71"/>
      <c r="L1483" s="71"/>
      <c r="M1483" s="67"/>
    </row>
    <row r="1484" spans="3:13" x14ac:dyDescent="0.25">
      <c r="C1484" s="71"/>
      <c r="K1484" s="71"/>
      <c r="L1484" s="71"/>
      <c r="M1484" s="67"/>
    </row>
    <row r="1485" spans="3:13" x14ac:dyDescent="0.25">
      <c r="C1485" s="71"/>
      <c r="K1485" s="71"/>
      <c r="L1485" s="71"/>
      <c r="M1485" s="67"/>
    </row>
    <row r="1486" spans="3:13" x14ac:dyDescent="0.25">
      <c r="C1486" s="71"/>
      <c r="K1486" s="71"/>
      <c r="L1486" s="71"/>
      <c r="M1486" s="67"/>
    </row>
    <row r="1487" spans="3:13" x14ac:dyDescent="0.25">
      <c r="C1487" s="71"/>
      <c r="K1487" s="71"/>
      <c r="L1487" s="71"/>
      <c r="M1487" s="67"/>
    </row>
    <row r="1488" spans="3:13" x14ac:dyDescent="0.25">
      <c r="C1488" s="71"/>
      <c r="K1488" s="71"/>
      <c r="L1488" s="71"/>
      <c r="M1488" s="67"/>
    </row>
    <row r="1489" spans="3:13" x14ac:dyDescent="0.25">
      <c r="C1489" s="71"/>
      <c r="K1489" s="71"/>
      <c r="L1489" s="71"/>
      <c r="M1489" s="67"/>
    </row>
    <row r="1490" spans="3:13" x14ac:dyDescent="0.25">
      <c r="C1490" s="71"/>
      <c r="K1490" s="71"/>
      <c r="L1490" s="71"/>
      <c r="M1490" s="67"/>
    </row>
    <row r="1491" spans="3:13" x14ac:dyDescent="0.25">
      <c r="C1491" s="71"/>
      <c r="K1491" s="71"/>
      <c r="L1491" s="71"/>
      <c r="M1491" s="67"/>
    </row>
    <row r="1492" spans="3:13" x14ac:dyDescent="0.25">
      <c r="C1492" s="71"/>
      <c r="K1492" s="71"/>
      <c r="L1492" s="71"/>
      <c r="M1492" s="67"/>
    </row>
    <row r="1493" spans="3:13" x14ac:dyDescent="0.25">
      <c r="C1493" s="71"/>
      <c r="K1493" s="71"/>
      <c r="L1493" s="71"/>
      <c r="M1493" s="67"/>
    </row>
    <row r="1494" spans="3:13" x14ac:dyDescent="0.25">
      <c r="C1494" s="71"/>
      <c r="K1494" s="71"/>
      <c r="L1494" s="71"/>
      <c r="M1494" s="67"/>
    </row>
    <row r="1495" spans="3:13" x14ac:dyDescent="0.25">
      <c r="C1495" s="71"/>
      <c r="K1495" s="71"/>
      <c r="L1495" s="71"/>
      <c r="M1495" s="67"/>
    </row>
    <row r="1496" spans="3:13" x14ac:dyDescent="0.25">
      <c r="C1496" s="71"/>
      <c r="K1496" s="71"/>
      <c r="L1496" s="71"/>
      <c r="M1496" s="67"/>
    </row>
    <row r="1497" spans="3:13" x14ac:dyDescent="0.25">
      <c r="C1497" s="71"/>
      <c r="K1497" s="71"/>
      <c r="L1497" s="71"/>
      <c r="M1497" s="67"/>
    </row>
    <row r="1498" spans="3:13" x14ac:dyDescent="0.25">
      <c r="C1498" s="71"/>
      <c r="K1498" s="71"/>
      <c r="L1498" s="71"/>
      <c r="M1498" s="67"/>
    </row>
    <row r="1499" spans="3:13" x14ac:dyDescent="0.25">
      <c r="C1499" s="71"/>
      <c r="K1499" s="71"/>
      <c r="L1499" s="71"/>
      <c r="M1499" s="67"/>
    </row>
    <row r="1500" spans="3:13" x14ac:dyDescent="0.25">
      <c r="C1500" s="71"/>
      <c r="K1500" s="71"/>
      <c r="L1500" s="71"/>
      <c r="M1500" s="67"/>
    </row>
    <row r="1501" spans="3:13" x14ac:dyDescent="0.25">
      <c r="C1501" s="71"/>
      <c r="K1501" s="71"/>
      <c r="L1501" s="71"/>
      <c r="M1501" s="67"/>
    </row>
    <row r="1502" spans="3:13" x14ac:dyDescent="0.25">
      <c r="C1502" s="71"/>
      <c r="K1502" s="71"/>
      <c r="L1502" s="71"/>
      <c r="M1502" s="67"/>
    </row>
    <row r="1503" spans="3:13" x14ac:dyDescent="0.25">
      <c r="C1503" s="71"/>
      <c r="K1503" s="71"/>
      <c r="L1503" s="71"/>
      <c r="M1503" s="67"/>
    </row>
    <row r="1504" spans="3:13" x14ac:dyDescent="0.25">
      <c r="C1504" s="71"/>
      <c r="K1504" s="71"/>
      <c r="L1504" s="71"/>
      <c r="M1504" s="67"/>
    </row>
    <row r="1505" spans="3:13" x14ac:dyDescent="0.25">
      <c r="C1505" s="71"/>
      <c r="K1505" s="71"/>
      <c r="L1505" s="71"/>
      <c r="M1505" s="67"/>
    </row>
    <row r="1506" spans="3:13" x14ac:dyDescent="0.25">
      <c r="C1506" s="71"/>
      <c r="K1506" s="71"/>
      <c r="L1506" s="71"/>
      <c r="M1506" s="67"/>
    </row>
    <row r="1507" spans="3:13" x14ac:dyDescent="0.25">
      <c r="C1507" s="71"/>
      <c r="K1507" s="71"/>
      <c r="L1507" s="71"/>
      <c r="M1507" s="67"/>
    </row>
    <row r="1508" spans="3:13" x14ac:dyDescent="0.25">
      <c r="C1508" s="71"/>
      <c r="K1508" s="71"/>
      <c r="L1508" s="71"/>
      <c r="M1508" s="67"/>
    </row>
    <row r="1509" spans="3:13" x14ac:dyDescent="0.25">
      <c r="C1509" s="71"/>
      <c r="K1509" s="71"/>
      <c r="L1509" s="71"/>
      <c r="M1509" s="67"/>
    </row>
    <row r="1510" spans="3:13" x14ac:dyDescent="0.25">
      <c r="C1510" s="71"/>
      <c r="K1510" s="71"/>
      <c r="L1510" s="71"/>
      <c r="M1510" s="67"/>
    </row>
    <row r="1511" spans="3:13" x14ac:dyDescent="0.25">
      <c r="C1511" s="71"/>
      <c r="K1511" s="71"/>
      <c r="L1511" s="71"/>
      <c r="M1511" s="67"/>
    </row>
    <row r="1512" spans="3:13" x14ac:dyDescent="0.25">
      <c r="C1512" s="71"/>
      <c r="K1512" s="71"/>
      <c r="L1512" s="71"/>
      <c r="M1512" s="67"/>
    </row>
    <row r="1513" spans="3:13" x14ac:dyDescent="0.25">
      <c r="C1513" s="71"/>
      <c r="K1513" s="71"/>
      <c r="L1513" s="71"/>
      <c r="M1513" s="67"/>
    </row>
    <row r="1514" spans="3:13" x14ac:dyDescent="0.25">
      <c r="C1514" s="71"/>
      <c r="K1514" s="71"/>
      <c r="L1514" s="71"/>
      <c r="M1514" s="67"/>
    </row>
    <row r="1515" spans="3:13" x14ac:dyDescent="0.25">
      <c r="C1515" s="71"/>
      <c r="K1515" s="71"/>
      <c r="L1515" s="71"/>
      <c r="M1515" s="67"/>
    </row>
    <row r="1516" spans="3:13" x14ac:dyDescent="0.25">
      <c r="C1516" s="71"/>
      <c r="K1516" s="71"/>
      <c r="L1516" s="71"/>
      <c r="M1516" s="67"/>
    </row>
    <row r="1517" spans="3:13" x14ac:dyDescent="0.25">
      <c r="C1517" s="71"/>
      <c r="K1517" s="71"/>
      <c r="L1517" s="71"/>
      <c r="M1517" s="67"/>
    </row>
    <row r="1518" spans="3:13" x14ac:dyDescent="0.25">
      <c r="C1518" s="71"/>
      <c r="K1518" s="71"/>
      <c r="L1518" s="71"/>
      <c r="M1518" s="67"/>
    </row>
    <row r="1519" spans="3:13" x14ac:dyDescent="0.25">
      <c r="C1519" s="71"/>
      <c r="K1519" s="71"/>
      <c r="L1519" s="71"/>
      <c r="M1519" s="67"/>
    </row>
    <row r="1520" spans="3:13" x14ac:dyDescent="0.25">
      <c r="C1520" s="71"/>
      <c r="K1520" s="71"/>
      <c r="L1520" s="71"/>
      <c r="M1520" s="67"/>
    </row>
    <row r="1521" spans="3:13" x14ac:dyDescent="0.25">
      <c r="C1521" s="71"/>
      <c r="K1521" s="71"/>
      <c r="L1521" s="71"/>
      <c r="M1521" s="67"/>
    </row>
    <row r="1522" spans="3:13" x14ac:dyDescent="0.25">
      <c r="C1522" s="71"/>
      <c r="K1522" s="71"/>
      <c r="L1522" s="71"/>
      <c r="M1522" s="67"/>
    </row>
    <row r="1523" spans="3:13" x14ac:dyDescent="0.25">
      <c r="C1523" s="71"/>
      <c r="K1523" s="71"/>
      <c r="L1523" s="71"/>
      <c r="M1523" s="67"/>
    </row>
    <row r="1524" spans="3:13" x14ac:dyDescent="0.25">
      <c r="C1524" s="71"/>
      <c r="K1524" s="71"/>
      <c r="L1524" s="71"/>
      <c r="M1524" s="67"/>
    </row>
    <row r="1525" spans="3:13" x14ac:dyDescent="0.25">
      <c r="C1525" s="71"/>
      <c r="K1525" s="71"/>
      <c r="L1525" s="71"/>
      <c r="M1525" s="67"/>
    </row>
    <row r="1526" spans="3:13" x14ac:dyDescent="0.25">
      <c r="C1526" s="71"/>
      <c r="K1526" s="71"/>
      <c r="L1526" s="71"/>
      <c r="M1526" s="67"/>
    </row>
    <row r="1527" spans="3:13" x14ac:dyDescent="0.25">
      <c r="C1527" s="71"/>
      <c r="K1527" s="71"/>
      <c r="L1527" s="71"/>
      <c r="M1527" s="67"/>
    </row>
    <row r="1528" spans="3:13" x14ac:dyDescent="0.25">
      <c r="C1528" s="71"/>
      <c r="K1528" s="71"/>
      <c r="L1528" s="71"/>
      <c r="M1528" s="67"/>
    </row>
    <row r="1529" spans="3:13" x14ac:dyDescent="0.25">
      <c r="C1529" s="71"/>
      <c r="K1529" s="71"/>
      <c r="L1529" s="71"/>
      <c r="M1529" s="67"/>
    </row>
    <row r="1530" spans="3:13" x14ac:dyDescent="0.25">
      <c r="C1530" s="71"/>
      <c r="K1530" s="71"/>
      <c r="L1530" s="71"/>
      <c r="M1530" s="67"/>
    </row>
    <row r="1531" spans="3:13" x14ac:dyDescent="0.25">
      <c r="C1531" s="71"/>
      <c r="K1531" s="71"/>
      <c r="L1531" s="71"/>
      <c r="M1531" s="67"/>
    </row>
    <row r="1532" spans="3:13" x14ac:dyDescent="0.25">
      <c r="C1532" s="71"/>
      <c r="K1532" s="71"/>
      <c r="L1532" s="71"/>
      <c r="M1532" s="67"/>
    </row>
    <row r="1533" spans="3:13" x14ac:dyDescent="0.25">
      <c r="C1533" s="71"/>
      <c r="K1533" s="71"/>
      <c r="L1533" s="71"/>
      <c r="M1533" s="67"/>
    </row>
    <row r="1534" spans="3:13" x14ac:dyDescent="0.25">
      <c r="C1534" s="71"/>
      <c r="K1534" s="71"/>
      <c r="L1534" s="71"/>
      <c r="M1534" s="67"/>
    </row>
    <row r="1535" spans="3:13" x14ac:dyDescent="0.25">
      <c r="C1535" s="71"/>
      <c r="K1535" s="71"/>
      <c r="L1535" s="71"/>
      <c r="M1535" s="67"/>
    </row>
    <row r="1536" spans="3:13" x14ac:dyDescent="0.25">
      <c r="C1536" s="71"/>
      <c r="K1536" s="71"/>
      <c r="L1536" s="71"/>
      <c r="M1536" s="67"/>
    </row>
    <row r="1537" spans="3:13" x14ac:dyDescent="0.25">
      <c r="C1537" s="71"/>
      <c r="K1537" s="71"/>
      <c r="L1537" s="71"/>
      <c r="M1537" s="67"/>
    </row>
    <row r="1538" spans="3:13" x14ac:dyDescent="0.25">
      <c r="C1538" s="71"/>
      <c r="K1538" s="71"/>
      <c r="L1538" s="71"/>
      <c r="M1538" s="67"/>
    </row>
    <row r="1539" spans="3:13" x14ac:dyDescent="0.25">
      <c r="C1539" s="71"/>
      <c r="K1539" s="71"/>
      <c r="L1539" s="71"/>
      <c r="M1539" s="67"/>
    </row>
    <row r="1540" spans="3:13" x14ac:dyDescent="0.25">
      <c r="C1540" s="71"/>
      <c r="K1540" s="71"/>
      <c r="L1540" s="71"/>
      <c r="M1540" s="67"/>
    </row>
    <row r="1541" spans="3:13" x14ac:dyDescent="0.25">
      <c r="C1541" s="71"/>
      <c r="K1541" s="71"/>
      <c r="L1541" s="71"/>
      <c r="M1541" s="67"/>
    </row>
    <row r="1542" spans="3:13" x14ac:dyDescent="0.25">
      <c r="C1542" s="71"/>
      <c r="K1542" s="71"/>
      <c r="L1542" s="71"/>
      <c r="M1542" s="67"/>
    </row>
    <row r="1543" spans="3:13" x14ac:dyDescent="0.25">
      <c r="C1543" s="71"/>
      <c r="K1543" s="71"/>
      <c r="L1543" s="71"/>
      <c r="M1543" s="67"/>
    </row>
    <row r="1544" spans="3:13" x14ac:dyDescent="0.25">
      <c r="C1544" s="71"/>
      <c r="K1544" s="71"/>
      <c r="L1544" s="71"/>
      <c r="M1544" s="67"/>
    </row>
    <row r="1545" spans="3:13" x14ac:dyDescent="0.25">
      <c r="C1545" s="71"/>
      <c r="K1545" s="71"/>
      <c r="L1545" s="71"/>
      <c r="M1545" s="67"/>
    </row>
    <row r="1546" spans="3:13" x14ac:dyDescent="0.25">
      <c r="C1546" s="71"/>
      <c r="K1546" s="71"/>
      <c r="L1546" s="71"/>
      <c r="M1546" s="67"/>
    </row>
    <row r="1547" spans="3:13" x14ac:dyDescent="0.25">
      <c r="C1547" s="71"/>
      <c r="K1547" s="71"/>
      <c r="L1547" s="71"/>
      <c r="M1547" s="67"/>
    </row>
    <row r="1548" spans="3:13" x14ac:dyDescent="0.25">
      <c r="C1548" s="71"/>
      <c r="K1548" s="71"/>
      <c r="L1548" s="71"/>
      <c r="M1548" s="67"/>
    </row>
    <row r="1549" spans="3:13" x14ac:dyDescent="0.25">
      <c r="C1549" s="71"/>
      <c r="K1549" s="71"/>
      <c r="L1549" s="71"/>
      <c r="M1549" s="67"/>
    </row>
    <row r="1550" spans="3:13" x14ac:dyDescent="0.25">
      <c r="C1550" s="71"/>
      <c r="K1550" s="71"/>
      <c r="L1550" s="71"/>
      <c r="M1550" s="67"/>
    </row>
    <row r="1551" spans="3:13" x14ac:dyDescent="0.25">
      <c r="C1551" s="71"/>
      <c r="K1551" s="71"/>
      <c r="L1551" s="71"/>
      <c r="M1551" s="67"/>
    </row>
    <row r="1552" spans="3:13" x14ac:dyDescent="0.25">
      <c r="C1552" s="71"/>
      <c r="K1552" s="71"/>
      <c r="L1552" s="71"/>
      <c r="M1552" s="67"/>
    </row>
    <row r="1553" spans="3:13" x14ac:dyDescent="0.25">
      <c r="C1553" s="71"/>
      <c r="K1553" s="71"/>
      <c r="L1553" s="71"/>
      <c r="M1553" s="67"/>
    </row>
    <row r="1554" spans="3:13" x14ac:dyDescent="0.25">
      <c r="C1554" s="71"/>
      <c r="K1554" s="71"/>
      <c r="L1554" s="71"/>
      <c r="M1554" s="67"/>
    </row>
    <row r="1555" spans="3:13" x14ac:dyDescent="0.25">
      <c r="C1555" s="71"/>
      <c r="K1555" s="71"/>
      <c r="L1555" s="71"/>
      <c r="M1555" s="67"/>
    </row>
    <row r="1556" spans="3:13" x14ac:dyDescent="0.25">
      <c r="C1556" s="71"/>
      <c r="K1556" s="71"/>
      <c r="L1556" s="71"/>
      <c r="M1556" s="67"/>
    </row>
    <row r="1557" spans="3:13" x14ac:dyDescent="0.25">
      <c r="C1557" s="71"/>
      <c r="K1557" s="71"/>
      <c r="L1557" s="71"/>
      <c r="M1557" s="67"/>
    </row>
    <row r="1558" spans="3:13" x14ac:dyDescent="0.25">
      <c r="C1558" s="71"/>
      <c r="K1558" s="71"/>
      <c r="L1558" s="71"/>
      <c r="M1558" s="67"/>
    </row>
    <row r="1559" spans="3:13" x14ac:dyDescent="0.25">
      <c r="C1559" s="71"/>
      <c r="K1559" s="71"/>
      <c r="L1559" s="71"/>
      <c r="M1559" s="67"/>
    </row>
    <row r="1560" spans="3:13" x14ac:dyDescent="0.25">
      <c r="C1560" s="71"/>
      <c r="K1560" s="71"/>
      <c r="L1560" s="71"/>
      <c r="M1560" s="67"/>
    </row>
    <row r="1561" spans="3:13" x14ac:dyDescent="0.25">
      <c r="C1561" s="71"/>
      <c r="K1561" s="71"/>
      <c r="L1561" s="71"/>
      <c r="M1561" s="67"/>
    </row>
    <row r="1562" spans="3:13" x14ac:dyDescent="0.25">
      <c r="C1562" s="71"/>
      <c r="K1562" s="71"/>
      <c r="L1562" s="71"/>
      <c r="M1562" s="67"/>
    </row>
    <row r="1563" spans="3:13" x14ac:dyDescent="0.25">
      <c r="C1563" s="71"/>
      <c r="K1563" s="71"/>
      <c r="L1563" s="71"/>
      <c r="M1563" s="67"/>
    </row>
    <row r="1564" spans="3:13" x14ac:dyDescent="0.25">
      <c r="C1564" s="71"/>
      <c r="K1564" s="71"/>
      <c r="L1564" s="71"/>
      <c r="M1564" s="67"/>
    </row>
    <row r="1565" spans="3:13" x14ac:dyDescent="0.25">
      <c r="C1565" s="71"/>
      <c r="K1565" s="71"/>
      <c r="L1565" s="71"/>
      <c r="M1565" s="67"/>
    </row>
    <row r="1566" spans="3:13" x14ac:dyDescent="0.25">
      <c r="C1566" s="71"/>
      <c r="K1566" s="71"/>
      <c r="L1566" s="71"/>
      <c r="M1566" s="67"/>
    </row>
    <row r="1567" spans="3:13" x14ac:dyDescent="0.25">
      <c r="C1567" s="71"/>
      <c r="K1567" s="71"/>
      <c r="L1567" s="71"/>
      <c r="M1567" s="67"/>
    </row>
    <row r="1568" spans="3:13" x14ac:dyDescent="0.25">
      <c r="C1568" s="71"/>
      <c r="K1568" s="71"/>
      <c r="L1568" s="71"/>
      <c r="M1568" s="67"/>
    </row>
    <row r="1569" spans="3:13" x14ac:dyDescent="0.25">
      <c r="C1569" s="71"/>
      <c r="K1569" s="71"/>
      <c r="L1569" s="71"/>
      <c r="M1569" s="67"/>
    </row>
    <row r="1570" spans="3:13" x14ac:dyDescent="0.25">
      <c r="C1570" s="71"/>
      <c r="K1570" s="71"/>
      <c r="L1570" s="71"/>
      <c r="M1570" s="67"/>
    </row>
    <row r="1571" spans="3:13" x14ac:dyDescent="0.25">
      <c r="C1571" s="71"/>
      <c r="K1571" s="71"/>
      <c r="L1571" s="71"/>
      <c r="M1571" s="67"/>
    </row>
    <row r="1572" spans="3:13" x14ac:dyDescent="0.25">
      <c r="C1572" s="71"/>
      <c r="K1572" s="71"/>
      <c r="L1572" s="71"/>
      <c r="M1572" s="67"/>
    </row>
    <row r="1573" spans="3:13" x14ac:dyDescent="0.25">
      <c r="C1573" s="71"/>
      <c r="K1573" s="71"/>
      <c r="L1573" s="71"/>
      <c r="M1573" s="67"/>
    </row>
    <row r="1574" spans="3:13" x14ac:dyDescent="0.25">
      <c r="C1574" s="71"/>
      <c r="K1574" s="71"/>
      <c r="L1574" s="71"/>
      <c r="M1574" s="67"/>
    </row>
    <row r="1575" spans="3:13" x14ac:dyDescent="0.25">
      <c r="C1575" s="71"/>
      <c r="K1575" s="71"/>
      <c r="L1575" s="71"/>
      <c r="M1575" s="67"/>
    </row>
    <row r="1576" spans="3:13" x14ac:dyDescent="0.25">
      <c r="C1576" s="71"/>
      <c r="K1576" s="71"/>
      <c r="L1576" s="71"/>
      <c r="M1576" s="67"/>
    </row>
    <row r="1577" spans="3:13" x14ac:dyDescent="0.25">
      <c r="C1577" s="71"/>
      <c r="K1577" s="71"/>
      <c r="L1577" s="71"/>
      <c r="M1577" s="67"/>
    </row>
    <row r="1578" spans="3:13" x14ac:dyDescent="0.25">
      <c r="C1578" s="71"/>
      <c r="K1578" s="71"/>
      <c r="L1578" s="71"/>
      <c r="M1578" s="67"/>
    </row>
    <row r="1579" spans="3:13" x14ac:dyDescent="0.25">
      <c r="C1579" s="71"/>
      <c r="K1579" s="71"/>
      <c r="L1579" s="71"/>
      <c r="M1579" s="67"/>
    </row>
    <row r="1580" spans="3:13" x14ac:dyDescent="0.25">
      <c r="C1580" s="71"/>
      <c r="K1580" s="71"/>
      <c r="L1580" s="71"/>
      <c r="M1580" s="67"/>
    </row>
    <row r="1581" spans="3:13" x14ac:dyDescent="0.25">
      <c r="C1581" s="71"/>
      <c r="K1581" s="71"/>
      <c r="L1581" s="71"/>
      <c r="M1581" s="67"/>
    </row>
    <row r="1582" spans="3:13" x14ac:dyDescent="0.25">
      <c r="C1582" s="71"/>
      <c r="K1582" s="71"/>
      <c r="L1582" s="71"/>
      <c r="M1582" s="67"/>
    </row>
    <row r="1583" spans="3:13" x14ac:dyDescent="0.25">
      <c r="C1583" s="71"/>
      <c r="K1583" s="71"/>
      <c r="L1583" s="71"/>
      <c r="M1583" s="67"/>
    </row>
    <row r="1584" spans="3:13" x14ac:dyDescent="0.25">
      <c r="C1584" s="71"/>
      <c r="K1584" s="71"/>
      <c r="L1584" s="71"/>
      <c r="M1584" s="67"/>
    </row>
    <row r="1585" spans="3:13" x14ac:dyDescent="0.25">
      <c r="C1585" s="71"/>
      <c r="K1585" s="71"/>
      <c r="L1585" s="71"/>
      <c r="M1585" s="67"/>
    </row>
    <row r="1586" spans="3:13" x14ac:dyDescent="0.25">
      <c r="C1586" s="71"/>
      <c r="K1586" s="71"/>
      <c r="L1586" s="71"/>
      <c r="M1586" s="67"/>
    </row>
    <row r="1587" spans="3:13" x14ac:dyDescent="0.25">
      <c r="C1587" s="71"/>
      <c r="K1587" s="71"/>
      <c r="L1587" s="71"/>
      <c r="M1587" s="67"/>
    </row>
    <row r="1588" spans="3:13" x14ac:dyDescent="0.25">
      <c r="C1588" s="71"/>
      <c r="K1588" s="71"/>
      <c r="L1588" s="71"/>
      <c r="M1588" s="67"/>
    </row>
    <row r="1589" spans="3:13" x14ac:dyDescent="0.25">
      <c r="C1589" s="71"/>
      <c r="K1589" s="71"/>
      <c r="L1589" s="71"/>
      <c r="M1589" s="67"/>
    </row>
    <row r="1590" spans="3:13" x14ac:dyDescent="0.25">
      <c r="C1590" s="71"/>
      <c r="K1590" s="71"/>
      <c r="L1590" s="71"/>
      <c r="M1590" s="67"/>
    </row>
    <row r="1591" spans="3:13" x14ac:dyDescent="0.25">
      <c r="C1591" s="71"/>
      <c r="K1591" s="71"/>
      <c r="L1591" s="71"/>
      <c r="M1591" s="67"/>
    </row>
    <row r="1592" spans="3:13" x14ac:dyDescent="0.25">
      <c r="C1592" s="71"/>
      <c r="K1592" s="71"/>
      <c r="L1592" s="71"/>
      <c r="M1592" s="67"/>
    </row>
    <row r="1593" spans="3:13" x14ac:dyDescent="0.25">
      <c r="C1593" s="71"/>
      <c r="K1593" s="71"/>
      <c r="L1593" s="71"/>
      <c r="M1593" s="67"/>
    </row>
    <row r="1594" spans="3:13" x14ac:dyDescent="0.25">
      <c r="C1594" s="71"/>
      <c r="K1594" s="71"/>
      <c r="L1594" s="71"/>
      <c r="M1594" s="67"/>
    </row>
    <row r="1595" spans="3:13" x14ac:dyDescent="0.25">
      <c r="C1595" s="71"/>
      <c r="K1595" s="71"/>
      <c r="L1595" s="71"/>
      <c r="M1595" s="67"/>
    </row>
    <row r="1596" spans="3:13" x14ac:dyDescent="0.25">
      <c r="C1596" s="71"/>
      <c r="K1596" s="71"/>
      <c r="L1596" s="71"/>
      <c r="M1596" s="67"/>
    </row>
    <row r="1597" spans="3:13" x14ac:dyDescent="0.25">
      <c r="C1597" s="71"/>
      <c r="K1597" s="71"/>
      <c r="L1597" s="71"/>
      <c r="M1597" s="67"/>
    </row>
    <row r="1598" spans="3:13" x14ac:dyDescent="0.25">
      <c r="C1598" s="71"/>
      <c r="K1598" s="71"/>
      <c r="L1598" s="71"/>
      <c r="M1598" s="67"/>
    </row>
    <row r="1599" spans="3:13" x14ac:dyDescent="0.25">
      <c r="C1599" s="71"/>
      <c r="K1599" s="71"/>
      <c r="L1599" s="71"/>
      <c r="M1599" s="67"/>
    </row>
    <row r="1600" spans="3:13" x14ac:dyDescent="0.25">
      <c r="C1600" s="71"/>
      <c r="K1600" s="71"/>
      <c r="L1600" s="71"/>
      <c r="M1600" s="67"/>
    </row>
    <row r="1601" spans="3:13" x14ac:dyDescent="0.25">
      <c r="C1601" s="71"/>
      <c r="K1601" s="71"/>
      <c r="L1601" s="71"/>
      <c r="M1601" s="67"/>
    </row>
    <row r="1602" spans="3:13" x14ac:dyDescent="0.25">
      <c r="C1602" s="71"/>
      <c r="K1602" s="71"/>
      <c r="L1602" s="71"/>
      <c r="M1602" s="67"/>
    </row>
    <row r="1603" spans="3:13" x14ac:dyDescent="0.25">
      <c r="C1603" s="71"/>
      <c r="K1603" s="71"/>
      <c r="L1603" s="71"/>
      <c r="M1603" s="67"/>
    </row>
    <row r="1604" spans="3:13" x14ac:dyDescent="0.25">
      <c r="C1604" s="71"/>
      <c r="K1604" s="71"/>
      <c r="L1604" s="71"/>
      <c r="M1604" s="67"/>
    </row>
    <row r="1605" spans="3:13" x14ac:dyDescent="0.25">
      <c r="C1605" s="71"/>
      <c r="K1605" s="71"/>
      <c r="L1605" s="71"/>
      <c r="M1605" s="67"/>
    </row>
    <row r="1606" spans="3:13" x14ac:dyDescent="0.25">
      <c r="C1606" s="71"/>
      <c r="K1606" s="71"/>
      <c r="L1606" s="71"/>
      <c r="M1606" s="67"/>
    </row>
    <row r="1607" spans="3:13" x14ac:dyDescent="0.25">
      <c r="C1607" s="71"/>
      <c r="K1607" s="71"/>
      <c r="L1607" s="71"/>
      <c r="M1607" s="67"/>
    </row>
    <row r="1608" spans="3:13" x14ac:dyDescent="0.25">
      <c r="C1608" s="71"/>
      <c r="K1608" s="71"/>
      <c r="L1608" s="71"/>
      <c r="M1608" s="67"/>
    </row>
    <row r="1609" spans="3:13" x14ac:dyDescent="0.25">
      <c r="C1609" s="71"/>
      <c r="K1609" s="71"/>
      <c r="L1609" s="71"/>
      <c r="M1609" s="67"/>
    </row>
    <row r="1610" spans="3:13" x14ac:dyDescent="0.25">
      <c r="C1610" s="71"/>
      <c r="K1610" s="71"/>
      <c r="L1610" s="71"/>
      <c r="M1610" s="67"/>
    </row>
    <row r="1611" spans="3:13" x14ac:dyDescent="0.25">
      <c r="C1611" s="71"/>
      <c r="K1611" s="71"/>
      <c r="L1611" s="71"/>
      <c r="M1611" s="67"/>
    </row>
    <row r="1612" spans="3:13" x14ac:dyDescent="0.25">
      <c r="C1612" s="71"/>
      <c r="K1612" s="71"/>
      <c r="L1612" s="71"/>
      <c r="M1612" s="67"/>
    </row>
    <row r="1613" spans="3:13" x14ac:dyDescent="0.25">
      <c r="C1613" s="71"/>
      <c r="K1613" s="71"/>
      <c r="L1613" s="71"/>
      <c r="M1613" s="67"/>
    </row>
    <row r="1614" spans="3:13" x14ac:dyDescent="0.25">
      <c r="C1614" s="71"/>
      <c r="K1614" s="71"/>
      <c r="L1614" s="71"/>
      <c r="M1614" s="67"/>
    </row>
    <row r="1615" spans="3:13" x14ac:dyDescent="0.25">
      <c r="C1615" s="71"/>
      <c r="K1615" s="71"/>
      <c r="L1615" s="71"/>
      <c r="M1615" s="67"/>
    </row>
    <row r="1616" spans="3:13" x14ac:dyDescent="0.25">
      <c r="C1616" s="71"/>
      <c r="K1616" s="71"/>
      <c r="L1616" s="71"/>
      <c r="M1616" s="67"/>
    </row>
    <row r="1617" spans="3:13" x14ac:dyDescent="0.25">
      <c r="C1617" s="71"/>
      <c r="K1617" s="71"/>
      <c r="L1617" s="71"/>
      <c r="M1617" s="67"/>
    </row>
    <row r="1618" spans="3:13" x14ac:dyDescent="0.25">
      <c r="C1618" s="71"/>
      <c r="K1618" s="71"/>
      <c r="L1618" s="71"/>
      <c r="M1618" s="67"/>
    </row>
    <row r="1619" spans="3:13" x14ac:dyDescent="0.25">
      <c r="C1619" s="71"/>
      <c r="K1619" s="71"/>
      <c r="L1619" s="71"/>
      <c r="M1619" s="67"/>
    </row>
    <row r="1620" spans="3:13" x14ac:dyDescent="0.25">
      <c r="C1620" s="71"/>
      <c r="K1620" s="71"/>
      <c r="L1620" s="71"/>
      <c r="M1620" s="67"/>
    </row>
    <row r="1621" spans="3:13" x14ac:dyDescent="0.25">
      <c r="C1621" s="71"/>
      <c r="K1621" s="71"/>
      <c r="L1621" s="71"/>
      <c r="M1621" s="67"/>
    </row>
    <row r="1622" spans="3:13" x14ac:dyDescent="0.25">
      <c r="C1622" s="71"/>
      <c r="K1622" s="71"/>
      <c r="L1622" s="71"/>
      <c r="M1622" s="67"/>
    </row>
    <row r="1623" spans="3:13" x14ac:dyDescent="0.25">
      <c r="C1623" s="71"/>
      <c r="K1623" s="71"/>
      <c r="L1623" s="71"/>
      <c r="M1623" s="67"/>
    </row>
    <row r="1624" spans="3:13" x14ac:dyDescent="0.25">
      <c r="C1624" s="71"/>
      <c r="K1624" s="71"/>
      <c r="L1624" s="71"/>
      <c r="M1624" s="67"/>
    </row>
    <row r="1625" spans="3:13" x14ac:dyDescent="0.25">
      <c r="C1625" s="71"/>
      <c r="K1625" s="71"/>
      <c r="L1625" s="71"/>
      <c r="M1625" s="67"/>
    </row>
    <row r="1626" spans="3:13" x14ac:dyDescent="0.25">
      <c r="C1626" s="71"/>
      <c r="K1626" s="71"/>
      <c r="L1626" s="71"/>
      <c r="M1626" s="67"/>
    </row>
    <row r="1627" spans="3:13" x14ac:dyDescent="0.25">
      <c r="C1627" s="71"/>
      <c r="K1627" s="71"/>
      <c r="L1627" s="71"/>
      <c r="M1627" s="67"/>
    </row>
    <row r="1628" spans="3:13" x14ac:dyDescent="0.25">
      <c r="C1628" s="71"/>
      <c r="K1628" s="71"/>
      <c r="L1628" s="71"/>
      <c r="M1628" s="67"/>
    </row>
    <row r="1629" spans="3:13" x14ac:dyDescent="0.25">
      <c r="C1629" s="71"/>
      <c r="K1629" s="71"/>
      <c r="L1629" s="71"/>
      <c r="M1629" s="67"/>
    </row>
    <row r="1630" spans="3:13" x14ac:dyDescent="0.25">
      <c r="C1630" s="71"/>
      <c r="K1630" s="71"/>
      <c r="L1630" s="71"/>
      <c r="M1630" s="67"/>
    </row>
    <row r="1631" spans="3:13" x14ac:dyDescent="0.25">
      <c r="C1631" s="71"/>
      <c r="K1631" s="71"/>
      <c r="L1631" s="71"/>
      <c r="M1631" s="67"/>
    </row>
    <row r="1632" spans="3:13" x14ac:dyDescent="0.25">
      <c r="C1632" s="71"/>
      <c r="K1632" s="71"/>
      <c r="L1632" s="71"/>
      <c r="M1632" s="67"/>
    </row>
    <row r="1633" spans="3:13" x14ac:dyDescent="0.25">
      <c r="C1633" s="71"/>
      <c r="K1633" s="71"/>
      <c r="L1633" s="71"/>
      <c r="M1633" s="67"/>
    </row>
    <row r="1634" spans="3:13" x14ac:dyDescent="0.25">
      <c r="C1634" s="71"/>
      <c r="K1634" s="71"/>
      <c r="L1634" s="71"/>
      <c r="M1634" s="67"/>
    </row>
    <row r="1635" spans="3:13" x14ac:dyDescent="0.25">
      <c r="C1635" s="71"/>
      <c r="K1635" s="71"/>
      <c r="L1635" s="71"/>
      <c r="M1635" s="67"/>
    </row>
    <row r="1636" spans="3:13" x14ac:dyDescent="0.25">
      <c r="C1636" s="71"/>
      <c r="K1636" s="71"/>
      <c r="L1636" s="71"/>
      <c r="M1636" s="67"/>
    </row>
    <row r="1637" spans="3:13" x14ac:dyDescent="0.25">
      <c r="C1637" s="71"/>
      <c r="K1637" s="71"/>
      <c r="L1637" s="71"/>
      <c r="M1637" s="67"/>
    </row>
    <row r="1638" spans="3:13" x14ac:dyDescent="0.25">
      <c r="C1638" s="71"/>
      <c r="K1638" s="71"/>
      <c r="L1638" s="71"/>
      <c r="M1638" s="67"/>
    </row>
    <row r="1639" spans="3:13" x14ac:dyDescent="0.25">
      <c r="C1639" s="71"/>
      <c r="K1639" s="71"/>
      <c r="L1639" s="71"/>
      <c r="M1639" s="67"/>
    </row>
    <row r="1640" spans="3:13" x14ac:dyDescent="0.25">
      <c r="C1640" s="71"/>
      <c r="K1640" s="71"/>
      <c r="L1640" s="71"/>
      <c r="M1640" s="67"/>
    </row>
    <row r="1641" spans="3:13" x14ac:dyDescent="0.25">
      <c r="C1641" s="71"/>
      <c r="K1641" s="71"/>
      <c r="L1641" s="71"/>
      <c r="M1641" s="67"/>
    </row>
    <row r="1642" spans="3:13" x14ac:dyDescent="0.25">
      <c r="C1642" s="71"/>
      <c r="K1642" s="71"/>
      <c r="L1642" s="71"/>
      <c r="M1642" s="67"/>
    </row>
    <row r="1643" spans="3:13" x14ac:dyDescent="0.25">
      <c r="C1643" s="71"/>
      <c r="K1643" s="71"/>
      <c r="L1643" s="71"/>
      <c r="M1643" s="67"/>
    </row>
    <row r="1644" spans="3:13" x14ac:dyDescent="0.25">
      <c r="C1644" s="71"/>
      <c r="K1644" s="71"/>
      <c r="L1644" s="71"/>
      <c r="M1644" s="67"/>
    </row>
    <row r="1645" spans="3:13" x14ac:dyDescent="0.25">
      <c r="C1645" s="71"/>
      <c r="K1645" s="71"/>
      <c r="L1645" s="71"/>
      <c r="M1645" s="67"/>
    </row>
    <row r="1646" spans="3:13" x14ac:dyDescent="0.25">
      <c r="C1646" s="71"/>
      <c r="K1646" s="71"/>
      <c r="L1646" s="71"/>
      <c r="M1646" s="67"/>
    </row>
    <row r="1647" spans="3:13" x14ac:dyDescent="0.25">
      <c r="C1647" s="71"/>
      <c r="K1647" s="71"/>
      <c r="L1647" s="71"/>
      <c r="M1647" s="67"/>
    </row>
    <row r="1648" spans="3:13" x14ac:dyDescent="0.25">
      <c r="C1648" s="71"/>
      <c r="K1648" s="71"/>
      <c r="L1648" s="71"/>
      <c r="M1648" s="67"/>
    </row>
    <row r="1649" spans="3:13" x14ac:dyDescent="0.25">
      <c r="C1649" s="71"/>
      <c r="K1649" s="71"/>
      <c r="L1649" s="71"/>
      <c r="M1649" s="67"/>
    </row>
    <row r="1650" spans="3:13" x14ac:dyDescent="0.25">
      <c r="C1650" s="71"/>
      <c r="K1650" s="71"/>
      <c r="L1650" s="71"/>
      <c r="M1650" s="67"/>
    </row>
    <row r="1651" spans="3:13" x14ac:dyDescent="0.25">
      <c r="C1651" s="71"/>
      <c r="K1651" s="71"/>
      <c r="L1651" s="71"/>
      <c r="M1651" s="67"/>
    </row>
    <row r="1652" spans="3:13" x14ac:dyDescent="0.25">
      <c r="C1652" s="71"/>
      <c r="K1652" s="71"/>
      <c r="L1652" s="71"/>
      <c r="M1652" s="67"/>
    </row>
    <row r="1653" spans="3:13" x14ac:dyDescent="0.25">
      <c r="C1653" s="71"/>
      <c r="K1653" s="71"/>
      <c r="L1653" s="71"/>
      <c r="M1653" s="67"/>
    </row>
    <row r="1654" spans="3:13" x14ac:dyDescent="0.25">
      <c r="C1654" s="71"/>
      <c r="K1654" s="71"/>
      <c r="L1654" s="71"/>
      <c r="M1654" s="67"/>
    </row>
    <row r="1655" spans="3:13" x14ac:dyDescent="0.25">
      <c r="C1655" s="71"/>
      <c r="K1655" s="71"/>
      <c r="L1655" s="71"/>
      <c r="M1655" s="67"/>
    </row>
    <row r="1656" spans="3:13" x14ac:dyDescent="0.25">
      <c r="C1656" s="71"/>
      <c r="K1656" s="71"/>
      <c r="L1656" s="71"/>
      <c r="M1656" s="67"/>
    </row>
    <row r="1657" spans="3:13" x14ac:dyDescent="0.25">
      <c r="C1657" s="71"/>
      <c r="K1657" s="71"/>
      <c r="L1657" s="71"/>
      <c r="M1657" s="67"/>
    </row>
    <row r="1658" spans="3:13" x14ac:dyDescent="0.25">
      <c r="C1658" s="71"/>
      <c r="K1658" s="71"/>
      <c r="L1658" s="71"/>
      <c r="M1658" s="67"/>
    </row>
    <row r="1659" spans="3:13" x14ac:dyDescent="0.25">
      <c r="C1659" s="71"/>
      <c r="K1659" s="71"/>
      <c r="L1659" s="71"/>
      <c r="M1659" s="67"/>
    </row>
    <row r="1660" spans="3:13" x14ac:dyDescent="0.25">
      <c r="C1660" s="71"/>
      <c r="K1660" s="71"/>
      <c r="L1660" s="71"/>
      <c r="M1660" s="67"/>
    </row>
    <row r="1661" spans="3:13" x14ac:dyDescent="0.25">
      <c r="C1661" s="71"/>
      <c r="K1661" s="71"/>
      <c r="L1661" s="71"/>
      <c r="M1661" s="67"/>
    </row>
    <row r="1662" spans="3:13" x14ac:dyDescent="0.25">
      <c r="C1662" s="71"/>
      <c r="K1662" s="71"/>
      <c r="L1662" s="71"/>
      <c r="M1662" s="67"/>
    </row>
    <row r="1663" spans="3:13" x14ac:dyDescent="0.25">
      <c r="C1663" s="71"/>
      <c r="K1663" s="71"/>
      <c r="L1663" s="71"/>
      <c r="M1663" s="67"/>
    </row>
    <row r="1664" spans="3:13" x14ac:dyDescent="0.25">
      <c r="C1664" s="71"/>
      <c r="K1664" s="71"/>
      <c r="L1664" s="71"/>
      <c r="M1664" s="67"/>
    </row>
    <row r="1665" spans="3:13" x14ac:dyDescent="0.25">
      <c r="C1665" s="71"/>
      <c r="K1665" s="71"/>
      <c r="L1665" s="71"/>
      <c r="M1665" s="67"/>
    </row>
    <row r="1666" spans="3:13" x14ac:dyDescent="0.25">
      <c r="C1666" s="71"/>
      <c r="K1666" s="71"/>
      <c r="L1666" s="71"/>
      <c r="M1666" s="67"/>
    </row>
    <row r="1667" spans="3:13" x14ac:dyDescent="0.25">
      <c r="C1667" s="71"/>
      <c r="K1667" s="71"/>
      <c r="L1667" s="71"/>
      <c r="M1667" s="67"/>
    </row>
    <row r="1668" spans="3:13" x14ac:dyDescent="0.25">
      <c r="C1668" s="71"/>
      <c r="K1668" s="71"/>
      <c r="L1668" s="71"/>
      <c r="M1668" s="67"/>
    </row>
    <row r="1669" spans="3:13" x14ac:dyDescent="0.25">
      <c r="C1669" s="71"/>
      <c r="K1669" s="71"/>
      <c r="L1669" s="71"/>
      <c r="M1669" s="67"/>
    </row>
    <row r="1670" spans="3:13" x14ac:dyDescent="0.25">
      <c r="C1670" s="71"/>
      <c r="K1670" s="71"/>
      <c r="L1670" s="71"/>
      <c r="M1670" s="67"/>
    </row>
    <row r="1671" spans="3:13" x14ac:dyDescent="0.25">
      <c r="C1671" s="71"/>
      <c r="D1671" s="77"/>
      <c r="K1671" s="71"/>
      <c r="L1671" s="71"/>
      <c r="M1671" s="67"/>
    </row>
    <row r="1672" spans="3:13" x14ac:dyDescent="0.25">
      <c r="C1672" s="71"/>
      <c r="D1672" s="77"/>
      <c r="K1672" s="71"/>
      <c r="L1672" s="71"/>
      <c r="M1672" s="67"/>
    </row>
    <row r="1673" spans="3:13" x14ac:dyDescent="0.25">
      <c r="C1673" s="71"/>
      <c r="D1673" s="77"/>
      <c r="K1673" s="71"/>
      <c r="L1673" s="71"/>
      <c r="M1673" s="67"/>
    </row>
    <row r="1674" spans="3:13" x14ac:dyDescent="0.25">
      <c r="C1674" s="71"/>
      <c r="D1674" s="77"/>
      <c r="K1674" s="71"/>
      <c r="L1674" s="71"/>
      <c r="M1674" s="67"/>
    </row>
    <row r="1675" spans="3:13" x14ac:dyDescent="0.25">
      <c r="C1675" s="71"/>
      <c r="D1675" s="77"/>
      <c r="K1675" s="71"/>
      <c r="L1675" s="71"/>
      <c r="M1675" s="67"/>
    </row>
    <row r="1676" spans="3:13" x14ac:dyDescent="0.25">
      <c r="C1676" s="71"/>
      <c r="D1676" s="77"/>
      <c r="K1676" s="71"/>
      <c r="L1676" s="71"/>
      <c r="M1676" s="67"/>
    </row>
    <row r="1677" spans="3:13" x14ac:dyDescent="0.25">
      <c r="C1677" s="71"/>
      <c r="D1677" s="77"/>
      <c r="K1677" s="71"/>
      <c r="L1677" s="71"/>
      <c r="M1677" s="67"/>
    </row>
    <row r="1678" spans="3:13" x14ac:dyDescent="0.25">
      <c r="C1678" s="71"/>
      <c r="D1678" s="77"/>
      <c r="K1678" s="71"/>
      <c r="L1678" s="71"/>
      <c r="M1678" s="67"/>
    </row>
    <row r="1679" spans="3:13" x14ac:dyDescent="0.25">
      <c r="C1679" s="71"/>
      <c r="D1679" s="77"/>
      <c r="K1679" s="71"/>
      <c r="L1679" s="71"/>
      <c r="M1679" s="67"/>
    </row>
    <row r="1680" spans="3:13" x14ac:dyDescent="0.25">
      <c r="C1680" s="71"/>
      <c r="D1680" s="77"/>
      <c r="K1680" s="71"/>
      <c r="L1680" s="71"/>
      <c r="M1680" s="67"/>
    </row>
    <row r="1681" spans="3:13" x14ac:dyDescent="0.25">
      <c r="C1681" s="71"/>
      <c r="D1681" s="77"/>
      <c r="K1681" s="71"/>
      <c r="L1681" s="71"/>
      <c r="M1681" s="67"/>
    </row>
    <row r="1682" spans="3:13" x14ac:dyDescent="0.25">
      <c r="C1682" s="71"/>
      <c r="D1682" s="77"/>
      <c r="K1682" s="71"/>
      <c r="L1682" s="71"/>
      <c r="M1682" s="67"/>
    </row>
    <row r="1683" spans="3:13" x14ac:dyDescent="0.25">
      <c r="C1683" s="71"/>
      <c r="D1683" s="77"/>
      <c r="K1683" s="71"/>
      <c r="L1683" s="71"/>
      <c r="M1683" s="67"/>
    </row>
    <row r="1684" spans="3:13" x14ac:dyDescent="0.25">
      <c r="C1684" s="71"/>
      <c r="D1684" s="77"/>
      <c r="K1684" s="71"/>
      <c r="L1684" s="71"/>
      <c r="M1684" s="67"/>
    </row>
    <row r="1685" spans="3:13" x14ac:dyDescent="0.25">
      <c r="C1685" s="71"/>
      <c r="D1685" s="77"/>
      <c r="K1685" s="71"/>
      <c r="L1685" s="71"/>
      <c r="M1685" s="67"/>
    </row>
    <row r="1686" spans="3:13" x14ac:dyDescent="0.25">
      <c r="C1686" s="71"/>
      <c r="D1686" s="77"/>
      <c r="K1686" s="71"/>
      <c r="L1686" s="71"/>
      <c r="M1686" s="67"/>
    </row>
    <row r="1687" spans="3:13" x14ac:dyDescent="0.25">
      <c r="C1687" s="71"/>
      <c r="D1687" s="77"/>
      <c r="K1687" s="71"/>
      <c r="L1687" s="71"/>
      <c r="M1687" s="67"/>
    </row>
    <row r="1688" spans="3:13" x14ac:dyDescent="0.25">
      <c r="C1688" s="71"/>
      <c r="D1688" s="77"/>
      <c r="K1688" s="71"/>
      <c r="L1688" s="71"/>
      <c r="M1688" s="67"/>
    </row>
    <row r="1689" spans="3:13" x14ac:dyDescent="0.25">
      <c r="C1689" s="71"/>
      <c r="D1689" s="77"/>
      <c r="K1689" s="71"/>
      <c r="L1689" s="71"/>
      <c r="M1689" s="67"/>
    </row>
    <row r="1690" spans="3:13" x14ac:dyDescent="0.25">
      <c r="C1690" s="71"/>
      <c r="D1690" s="77"/>
      <c r="K1690" s="71"/>
      <c r="L1690" s="71"/>
      <c r="M1690" s="67"/>
    </row>
    <row r="1691" spans="3:13" x14ac:dyDescent="0.25">
      <c r="C1691" s="71"/>
      <c r="D1691" s="77"/>
      <c r="K1691" s="71"/>
      <c r="L1691" s="71"/>
      <c r="M1691" s="67"/>
    </row>
    <row r="1692" spans="3:13" x14ac:dyDescent="0.25">
      <c r="C1692" s="71"/>
      <c r="D1692" s="77"/>
      <c r="K1692" s="71"/>
      <c r="L1692" s="71"/>
      <c r="M1692" s="67"/>
    </row>
    <row r="1693" spans="3:13" x14ac:dyDescent="0.25">
      <c r="C1693" s="71"/>
      <c r="D1693" s="77"/>
      <c r="K1693" s="71"/>
      <c r="L1693" s="71"/>
      <c r="M1693" s="67"/>
    </row>
    <row r="1694" spans="3:13" x14ac:dyDescent="0.25">
      <c r="C1694" s="71"/>
      <c r="D1694" s="77"/>
      <c r="K1694" s="71"/>
      <c r="L1694" s="71"/>
      <c r="M1694" s="67"/>
    </row>
    <row r="1695" spans="3:13" x14ac:dyDescent="0.25">
      <c r="C1695" s="71"/>
      <c r="D1695" s="77"/>
      <c r="K1695" s="71"/>
      <c r="L1695" s="71"/>
      <c r="M1695" s="67"/>
    </row>
    <row r="1696" spans="3:13" x14ac:dyDescent="0.25">
      <c r="C1696" s="71"/>
      <c r="D1696" s="77"/>
      <c r="K1696" s="71"/>
      <c r="L1696" s="71"/>
      <c r="M1696" s="67"/>
    </row>
    <row r="1697" spans="3:13" x14ac:dyDescent="0.25">
      <c r="C1697" s="71"/>
      <c r="D1697" s="77"/>
      <c r="K1697" s="71"/>
      <c r="L1697" s="71"/>
      <c r="M1697" s="67"/>
    </row>
    <row r="1698" spans="3:13" x14ac:dyDescent="0.25">
      <c r="C1698" s="71"/>
      <c r="D1698" s="77"/>
      <c r="K1698" s="71"/>
      <c r="L1698" s="71"/>
      <c r="M1698" s="67"/>
    </row>
    <row r="1699" spans="3:13" x14ac:dyDescent="0.25">
      <c r="C1699" s="71"/>
      <c r="D1699" s="77"/>
      <c r="K1699" s="71"/>
      <c r="L1699" s="71"/>
      <c r="M1699" s="67"/>
    </row>
    <row r="1700" spans="3:13" x14ac:dyDescent="0.25">
      <c r="C1700" s="71"/>
      <c r="D1700" s="77"/>
      <c r="K1700" s="71"/>
      <c r="L1700" s="71"/>
      <c r="M1700" s="67"/>
    </row>
    <row r="1701" spans="3:13" x14ac:dyDescent="0.25">
      <c r="C1701" s="71"/>
      <c r="D1701" s="77"/>
      <c r="K1701" s="71"/>
      <c r="L1701" s="71"/>
      <c r="M1701" s="67"/>
    </row>
    <row r="1702" spans="3:13" x14ac:dyDescent="0.25">
      <c r="C1702" s="71"/>
      <c r="D1702" s="77"/>
      <c r="K1702" s="71"/>
      <c r="L1702" s="71"/>
      <c r="M1702" s="67"/>
    </row>
    <row r="1703" spans="3:13" x14ac:dyDescent="0.25">
      <c r="C1703" s="71"/>
      <c r="D1703" s="77"/>
      <c r="K1703" s="71"/>
      <c r="L1703" s="71"/>
      <c r="M1703" s="67"/>
    </row>
    <row r="1704" spans="3:13" x14ac:dyDescent="0.25">
      <c r="C1704" s="71"/>
      <c r="D1704" s="77"/>
      <c r="K1704" s="71"/>
      <c r="L1704" s="71"/>
      <c r="M1704" s="67"/>
    </row>
    <row r="1705" spans="3:13" x14ac:dyDescent="0.25">
      <c r="C1705" s="71"/>
      <c r="D1705" s="77"/>
      <c r="K1705" s="71"/>
      <c r="L1705" s="71"/>
      <c r="M1705" s="67"/>
    </row>
    <row r="1706" spans="3:13" x14ac:dyDescent="0.25">
      <c r="C1706" s="71"/>
      <c r="D1706" s="77"/>
      <c r="K1706" s="71"/>
      <c r="L1706" s="71"/>
      <c r="M1706" s="67"/>
    </row>
    <row r="1707" spans="3:13" x14ac:dyDescent="0.25">
      <c r="C1707" s="71"/>
      <c r="D1707" s="77"/>
      <c r="K1707" s="71"/>
      <c r="L1707" s="71"/>
      <c r="M1707" s="67"/>
    </row>
    <row r="1708" spans="3:13" x14ac:dyDescent="0.25">
      <c r="C1708" s="71"/>
      <c r="D1708" s="77"/>
      <c r="K1708" s="71"/>
      <c r="L1708" s="71"/>
      <c r="M1708" s="67"/>
    </row>
    <row r="1709" spans="3:13" x14ac:dyDescent="0.25">
      <c r="C1709" s="71"/>
      <c r="D1709" s="77"/>
      <c r="K1709" s="71"/>
      <c r="L1709" s="71"/>
      <c r="M1709" s="67"/>
    </row>
    <row r="1710" spans="3:13" x14ac:dyDescent="0.25">
      <c r="C1710" s="71"/>
      <c r="D1710" s="77"/>
      <c r="K1710" s="71"/>
      <c r="L1710" s="71"/>
      <c r="M1710" s="67"/>
    </row>
    <row r="1711" spans="3:13" x14ac:dyDescent="0.25">
      <c r="C1711" s="71"/>
      <c r="D1711" s="77"/>
      <c r="K1711" s="71"/>
      <c r="L1711" s="71"/>
      <c r="M1711" s="67"/>
    </row>
    <row r="1712" spans="3:13" x14ac:dyDescent="0.25">
      <c r="C1712" s="71"/>
      <c r="D1712" s="77"/>
      <c r="K1712" s="71"/>
      <c r="L1712" s="71"/>
      <c r="M1712" s="67"/>
    </row>
    <row r="1713" spans="3:13" x14ac:dyDescent="0.25">
      <c r="C1713" s="71"/>
      <c r="D1713" s="77"/>
      <c r="K1713" s="71"/>
      <c r="L1713" s="71"/>
      <c r="M1713" s="67"/>
    </row>
    <row r="1714" spans="3:13" x14ac:dyDescent="0.25">
      <c r="C1714" s="71"/>
      <c r="D1714" s="77"/>
      <c r="K1714" s="71"/>
      <c r="L1714" s="71"/>
      <c r="M1714" s="67"/>
    </row>
    <row r="1715" spans="3:13" x14ac:dyDescent="0.25">
      <c r="C1715" s="71"/>
      <c r="D1715" s="77"/>
      <c r="K1715" s="71"/>
      <c r="L1715" s="71"/>
      <c r="M1715" s="67"/>
    </row>
    <row r="1716" spans="3:13" x14ac:dyDescent="0.25">
      <c r="C1716" s="71"/>
      <c r="D1716" s="77"/>
      <c r="K1716" s="71"/>
      <c r="L1716" s="71"/>
      <c r="M1716" s="67"/>
    </row>
    <row r="1717" spans="3:13" x14ac:dyDescent="0.25">
      <c r="C1717" s="71"/>
      <c r="D1717" s="77"/>
      <c r="K1717" s="71"/>
      <c r="L1717" s="71"/>
      <c r="M1717" s="67"/>
    </row>
    <row r="1718" spans="3:13" x14ac:dyDescent="0.25">
      <c r="C1718" s="71"/>
      <c r="D1718" s="77"/>
      <c r="K1718" s="71"/>
      <c r="L1718" s="71"/>
      <c r="M1718" s="67"/>
    </row>
    <row r="1719" spans="3:13" x14ac:dyDescent="0.25">
      <c r="C1719" s="71"/>
      <c r="D1719" s="77"/>
      <c r="K1719" s="71"/>
      <c r="L1719" s="71"/>
      <c r="M1719" s="67"/>
    </row>
    <row r="1720" spans="3:13" x14ac:dyDescent="0.25">
      <c r="C1720" s="71"/>
      <c r="D1720" s="77"/>
      <c r="K1720" s="71"/>
      <c r="L1720" s="71"/>
      <c r="M1720" s="67"/>
    </row>
    <row r="1721" spans="3:13" x14ac:dyDescent="0.25">
      <c r="C1721" s="71"/>
      <c r="D1721" s="77"/>
      <c r="K1721" s="71"/>
      <c r="L1721" s="71"/>
      <c r="M1721" s="67"/>
    </row>
    <row r="1722" spans="3:13" x14ac:dyDescent="0.25">
      <c r="C1722" s="71"/>
      <c r="D1722" s="77"/>
      <c r="K1722" s="71"/>
      <c r="L1722" s="71"/>
      <c r="M1722" s="67"/>
    </row>
    <row r="1723" spans="3:13" x14ac:dyDescent="0.25">
      <c r="C1723" s="71"/>
      <c r="D1723" s="77"/>
      <c r="K1723" s="71"/>
      <c r="L1723" s="71"/>
      <c r="M1723" s="67"/>
    </row>
    <row r="1724" spans="3:13" x14ac:dyDescent="0.25">
      <c r="C1724" s="71"/>
      <c r="D1724" s="77"/>
      <c r="K1724" s="71"/>
      <c r="L1724" s="71"/>
      <c r="M1724" s="67"/>
    </row>
    <row r="1725" spans="3:13" x14ac:dyDescent="0.25">
      <c r="C1725" s="71"/>
      <c r="D1725" s="77"/>
      <c r="K1725" s="71"/>
      <c r="L1725" s="71"/>
      <c r="M1725" s="67"/>
    </row>
    <row r="1726" spans="3:13" x14ac:dyDescent="0.25">
      <c r="C1726" s="71"/>
      <c r="D1726" s="77"/>
      <c r="K1726" s="71"/>
      <c r="L1726" s="71"/>
      <c r="M1726" s="67"/>
    </row>
    <row r="1727" spans="3:13" x14ac:dyDescent="0.25">
      <c r="C1727" s="71"/>
      <c r="D1727" s="77"/>
      <c r="K1727" s="71"/>
      <c r="L1727" s="71"/>
      <c r="M1727" s="67"/>
    </row>
    <row r="1728" spans="3:13" x14ac:dyDescent="0.25">
      <c r="C1728" s="71"/>
      <c r="D1728" s="77"/>
      <c r="K1728" s="71"/>
      <c r="L1728" s="71"/>
      <c r="M1728" s="67"/>
    </row>
    <row r="1729" spans="3:13" x14ac:dyDescent="0.25">
      <c r="C1729" s="71"/>
      <c r="D1729" s="77"/>
      <c r="K1729" s="71"/>
      <c r="L1729" s="71"/>
      <c r="M1729" s="67"/>
    </row>
    <row r="1730" spans="3:13" x14ac:dyDescent="0.25">
      <c r="C1730" s="71"/>
      <c r="D1730" s="77"/>
      <c r="K1730" s="71"/>
      <c r="L1730" s="71"/>
      <c r="M1730" s="67"/>
    </row>
    <row r="1731" spans="3:13" x14ac:dyDescent="0.25">
      <c r="C1731" s="71"/>
      <c r="D1731" s="77"/>
      <c r="K1731" s="71"/>
      <c r="L1731" s="71"/>
      <c r="M1731" s="67"/>
    </row>
    <row r="1732" spans="3:13" x14ac:dyDescent="0.25">
      <c r="C1732" s="71"/>
      <c r="D1732" s="77"/>
      <c r="K1732" s="71"/>
      <c r="L1732" s="71"/>
      <c r="M1732" s="67"/>
    </row>
    <row r="1733" spans="3:13" x14ac:dyDescent="0.25">
      <c r="C1733" s="71"/>
      <c r="D1733" s="77"/>
      <c r="K1733" s="71"/>
      <c r="L1733" s="71"/>
      <c r="M1733" s="67"/>
    </row>
    <row r="1734" spans="3:13" x14ac:dyDescent="0.25">
      <c r="C1734" s="71"/>
      <c r="D1734" s="77"/>
      <c r="K1734" s="71"/>
      <c r="L1734" s="71"/>
      <c r="M1734" s="67"/>
    </row>
    <row r="1735" spans="3:13" x14ac:dyDescent="0.25">
      <c r="C1735" s="71"/>
      <c r="D1735" s="77"/>
      <c r="K1735" s="71"/>
      <c r="L1735" s="71"/>
      <c r="M1735" s="67"/>
    </row>
    <row r="1736" spans="3:13" x14ac:dyDescent="0.25">
      <c r="C1736" s="71"/>
      <c r="D1736" s="77"/>
      <c r="K1736" s="71"/>
      <c r="L1736" s="71"/>
      <c r="M1736" s="67"/>
    </row>
    <row r="1737" spans="3:13" x14ac:dyDescent="0.25">
      <c r="C1737" s="71"/>
      <c r="D1737" s="77"/>
      <c r="K1737" s="71"/>
      <c r="L1737" s="71"/>
      <c r="M1737" s="67"/>
    </row>
    <row r="1738" spans="3:13" x14ac:dyDescent="0.25">
      <c r="C1738" s="71"/>
      <c r="K1738" s="71"/>
      <c r="L1738" s="71"/>
      <c r="M1738" s="67"/>
    </row>
    <row r="1739" spans="3:13" x14ac:dyDescent="0.25">
      <c r="C1739" s="71"/>
      <c r="K1739" s="71"/>
      <c r="L1739" s="71"/>
      <c r="M1739" s="67"/>
    </row>
    <row r="1740" spans="3:13" x14ac:dyDescent="0.25">
      <c r="C1740" s="71"/>
      <c r="K1740" s="71"/>
      <c r="L1740" s="71"/>
      <c r="M1740" s="67"/>
    </row>
    <row r="1741" spans="3:13" x14ac:dyDescent="0.25">
      <c r="C1741" s="71"/>
      <c r="K1741" s="71"/>
      <c r="L1741" s="71"/>
      <c r="M1741" s="67"/>
    </row>
    <row r="1742" spans="3:13" x14ac:dyDescent="0.25">
      <c r="C1742" s="71"/>
      <c r="K1742" s="71"/>
      <c r="L1742" s="71"/>
      <c r="M1742" s="67"/>
    </row>
    <row r="1743" spans="3:13" x14ac:dyDescent="0.25">
      <c r="C1743" s="71"/>
      <c r="K1743" s="71"/>
      <c r="L1743" s="71"/>
      <c r="M1743" s="67"/>
    </row>
    <row r="1744" spans="3:13" x14ac:dyDescent="0.25">
      <c r="C1744" s="71"/>
      <c r="K1744" s="71"/>
      <c r="L1744" s="71"/>
      <c r="M1744" s="67"/>
    </row>
    <row r="1745" spans="3:13" x14ac:dyDescent="0.25">
      <c r="C1745" s="71"/>
      <c r="K1745" s="71"/>
      <c r="L1745" s="71"/>
      <c r="M1745" s="67"/>
    </row>
    <row r="1746" spans="3:13" x14ac:dyDescent="0.25">
      <c r="C1746" s="71"/>
      <c r="K1746" s="71"/>
      <c r="L1746" s="71"/>
      <c r="M1746" s="67"/>
    </row>
    <row r="1747" spans="3:13" x14ac:dyDescent="0.25">
      <c r="C1747" s="71"/>
      <c r="K1747" s="71"/>
      <c r="L1747" s="71"/>
      <c r="M1747" s="67"/>
    </row>
    <row r="1748" spans="3:13" x14ac:dyDescent="0.25">
      <c r="C1748" s="71"/>
      <c r="K1748" s="71"/>
      <c r="L1748" s="71"/>
      <c r="M1748" s="67"/>
    </row>
    <row r="1749" spans="3:13" x14ac:dyDescent="0.25">
      <c r="C1749" s="71"/>
      <c r="K1749" s="71"/>
      <c r="L1749" s="71"/>
      <c r="M1749" s="67"/>
    </row>
    <row r="1750" spans="3:13" x14ac:dyDescent="0.25">
      <c r="C1750" s="71"/>
      <c r="K1750" s="71"/>
      <c r="L1750" s="71"/>
      <c r="M1750" s="67"/>
    </row>
    <row r="1751" spans="3:13" x14ac:dyDescent="0.25">
      <c r="C1751" s="71"/>
      <c r="K1751" s="71"/>
      <c r="L1751" s="71"/>
      <c r="M1751" s="67"/>
    </row>
    <row r="1752" spans="3:13" x14ac:dyDescent="0.25">
      <c r="C1752" s="71"/>
      <c r="K1752" s="71"/>
      <c r="L1752" s="71"/>
      <c r="M1752" s="67"/>
    </row>
    <row r="1753" spans="3:13" x14ac:dyDescent="0.25">
      <c r="C1753" s="71"/>
      <c r="K1753" s="71"/>
      <c r="L1753" s="71"/>
      <c r="M1753" s="67"/>
    </row>
    <row r="1754" spans="3:13" x14ac:dyDescent="0.25">
      <c r="C1754" s="71"/>
      <c r="K1754" s="71"/>
      <c r="L1754" s="71"/>
      <c r="M1754" s="67"/>
    </row>
    <row r="1755" spans="3:13" x14ac:dyDescent="0.25">
      <c r="C1755" s="71"/>
      <c r="K1755" s="71"/>
      <c r="L1755" s="71"/>
      <c r="M1755" s="67"/>
    </row>
    <row r="1756" spans="3:13" x14ac:dyDescent="0.25">
      <c r="C1756" s="71"/>
      <c r="K1756" s="71"/>
      <c r="L1756" s="71"/>
      <c r="M1756" s="67"/>
    </row>
    <row r="1757" spans="3:13" x14ac:dyDescent="0.25">
      <c r="C1757" s="71"/>
      <c r="K1757" s="71"/>
      <c r="L1757" s="71"/>
      <c r="M1757" s="67"/>
    </row>
    <row r="1758" spans="3:13" x14ac:dyDescent="0.25">
      <c r="C1758" s="71"/>
      <c r="K1758" s="71"/>
      <c r="L1758" s="71"/>
      <c r="M1758" s="67"/>
    </row>
    <row r="1759" spans="3:13" x14ac:dyDescent="0.25">
      <c r="C1759" s="71"/>
      <c r="K1759" s="71"/>
      <c r="L1759" s="71"/>
      <c r="M1759" s="67"/>
    </row>
    <row r="1760" spans="3:13" x14ac:dyDescent="0.25">
      <c r="C1760" s="71"/>
      <c r="K1760" s="71"/>
      <c r="L1760" s="71"/>
      <c r="M1760" s="67"/>
    </row>
    <row r="1761" spans="3:13" x14ac:dyDescent="0.25">
      <c r="C1761" s="71"/>
      <c r="K1761" s="71"/>
      <c r="L1761" s="71"/>
      <c r="M1761" s="67"/>
    </row>
    <row r="1762" spans="3:13" x14ac:dyDescent="0.25">
      <c r="C1762" s="71"/>
      <c r="K1762" s="71"/>
      <c r="L1762" s="71"/>
      <c r="M1762" s="67"/>
    </row>
    <row r="1763" spans="3:13" x14ac:dyDescent="0.25">
      <c r="C1763" s="71"/>
      <c r="K1763" s="71"/>
      <c r="L1763" s="71"/>
      <c r="M1763" s="67"/>
    </row>
    <row r="1764" spans="3:13" x14ac:dyDescent="0.25">
      <c r="C1764" s="71"/>
      <c r="K1764" s="71"/>
      <c r="L1764" s="71"/>
      <c r="M1764" s="67"/>
    </row>
    <row r="1765" spans="3:13" x14ac:dyDescent="0.25">
      <c r="C1765" s="71"/>
      <c r="K1765" s="71"/>
      <c r="L1765" s="71"/>
      <c r="M1765" s="67"/>
    </row>
    <row r="1766" spans="3:13" x14ac:dyDescent="0.25">
      <c r="C1766" s="71"/>
      <c r="K1766" s="71"/>
      <c r="L1766" s="71"/>
      <c r="M1766" s="67"/>
    </row>
    <row r="1767" spans="3:13" x14ac:dyDescent="0.25">
      <c r="C1767" s="71"/>
      <c r="K1767" s="71"/>
      <c r="L1767" s="71"/>
      <c r="M1767" s="67"/>
    </row>
    <row r="1768" spans="3:13" x14ac:dyDescent="0.25">
      <c r="C1768" s="71"/>
      <c r="K1768" s="71"/>
      <c r="L1768" s="71"/>
      <c r="M1768" s="67"/>
    </row>
    <row r="1769" spans="3:13" x14ac:dyDescent="0.25">
      <c r="C1769" s="71"/>
      <c r="K1769" s="71"/>
      <c r="L1769" s="71"/>
      <c r="M1769" s="67"/>
    </row>
    <row r="1770" spans="3:13" x14ac:dyDescent="0.25">
      <c r="C1770" s="71"/>
      <c r="K1770" s="71"/>
      <c r="L1770" s="71"/>
      <c r="M1770" s="67"/>
    </row>
    <row r="1771" spans="3:13" x14ac:dyDescent="0.25">
      <c r="C1771" s="71"/>
      <c r="K1771" s="71"/>
      <c r="L1771" s="71"/>
      <c r="M1771" s="67"/>
    </row>
    <row r="1772" spans="3:13" x14ac:dyDescent="0.25">
      <c r="C1772" s="71"/>
      <c r="K1772" s="71"/>
      <c r="L1772" s="71"/>
      <c r="M1772" s="67"/>
    </row>
    <row r="1773" spans="3:13" x14ac:dyDescent="0.25">
      <c r="C1773" s="71"/>
      <c r="K1773" s="71"/>
      <c r="L1773" s="71"/>
      <c r="M1773" s="67"/>
    </row>
    <row r="1774" spans="3:13" x14ac:dyDescent="0.25">
      <c r="C1774" s="71"/>
      <c r="K1774" s="71"/>
      <c r="L1774" s="71"/>
      <c r="M1774" s="67"/>
    </row>
    <row r="1775" spans="3:13" x14ac:dyDescent="0.25">
      <c r="C1775" s="71"/>
      <c r="K1775" s="71"/>
      <c r="L1775" s="71"/>
      <c r="M1775" s="67"/>
    </row>
    <row r="1776" spans="3:13" x14ac:dyDescent="0.25">
      <c r="C1776" s="71"/>
      <c r="K1776" s="71"/>
      <c r="L1776" s="71"/>
      <c r="M1776" s="67"/>
    </row>
    <row r="1777" spans="3:13" x14ac:dyDescent="0.25">
      <c r="C1777" s="71"/>
      <c r="K1777" s="71"/>
      <c r="L1777" s="71"/>
      <c r="M1777" s="67"/>
    </row>
    <row r="1778" spans="3:13" x14ac:dyDescent="0.25">
      <c r="C1778" s="71"/>
      <c r="K1778" s="71"/>
      <c r="L1778" s="71"/>
      <c r="M1778" s="67"/>
    </row>
    <row r="1779" spans="3:13" x14ac:dyDescent="0.25">
      <c r="C1779" s="71"/>
      <c r="K1779" s="71"/>
      <c r="L1779" s="71"/>
      <c r="M1779" s="67"/>
    </row>
    <row r="1780" spans="3:13" x14ac:dyDescent="0.25">
      <c r="C1780" s="71"/>
      <c r="K1780" s="71"/>
      <c r="L1780" s="71"/>
      <c r="M1780" s="67"/>
    </row>
    <row r="1781" spans="3:13" x14ac:dyDescent="0.25">
      <c r="C1781" s="71"/>
      <c r="K1781" s="71"/>
      <c r="L1781" s="71"/>
      <c r="M1781" s="67"/>
    </row>
    <row r="1782" spans="3:13" x14ac:dyDescent="0.25">
      <c r="C1782" s="71"/>
      <c r="K1782" s="71"/>
      <c r="L1782" s="71"/>
      <c r="M1782" s="67"/>
    </row>
    <row r="1783" spans="3:13" x14ac:dyDescent="0.25">
      <c r="C1783" s="71"/>
      <c r="K1783" s="71"/>
      <c r="L1783" s="71"/>
      <c r="M1783" s="67"/>
    </row>
    <row r="1784" spans="3:13" x14ac:dyDescent="0.25">
      <c r="C1784" s="71"/>
      <c r="K1784" s="71"/>
      <c r="L1784" s="71"/>
      <c r="M1784" s="67"/>
    </row>
    <row r="1785" spans="3:13" x14ac:dyDescent="0.25">
      <c r="C1785" s="71"/>
      <c r="K1785" s="71"/>
      <c r="L1785" s="71"/>
      <c r="M1785" s="67"/>
    </row>
    <row r="1786" spans="3:13" x14ac:dyDescent="0.25">
      <c r="C1786" s="71"/>
      <c r="K1786" s="71"/>
      <c r="L1786" s="71"/>
      <c r="M1786" s="67"/>
    </row>
    <row r="1787" spans="3:13" x14ac:dyDescent="0.25">
      <c r="C1787" s="71"/>
      <c r="K1787" s="71"/>
      <c r="L1787" s="71"/>
      <c r="M1787" s="67"/>
    </row>
    <row r="1788" spans="3:13" x14ac:dyDescent="0.25">
      <c r="C1788" s="71"/>
      <c r="K1788" s="71"/>
      <c r="L1788" s="71"/>
      <c r="M1788" s="67"/>
    </row>
    <row r="1789" spans="3:13" x14ac:dyDescent="0.25">
      <c r="C1789" s="71"/>
      <c r="K1789" s="71"/>
      <c r="L1789" s="71"/>
      <c r="M1789" s="67"/>
    </row>
    <row r="1790" spans="3:13" x14ac:dyDescent="0.25">
      <c r="C1790" s="71"/>
      <c r="K1790" s="71"/>
      <c r="L1790" s="71"/>
      <c r="M1790" s="67"/>
    </row>
    <row r="1791" spans="3:13" x14ac:dyDescent="0.25">
      <c r="C1791" s="71"/>
      <c r="K1791" s="71"/>
      <c r="L1791" s="71"/>
      <c r="M1791" s="67"/>
    </row>
    <row r="1792" spans="3:13" x14ac:dyDescent="0.25">
      <c r="C1792" s="71"/>
      <c r="K1792" s="71"/>
      <c r="L1792" s="71"/>
      <c r="M1792" s="67"/>
    </row>
    <row r="1793" spans="3:13" x14ac:dyDescent="0.25">
      <c r="C1793" s="71"/>
      <c r="K1793" s="71"/>
      <c r="L1793" s="71"/>
      <c r="M1793" s="67"/>
    </row>
    <row r="1794" spans="3:13" x14ac:dyDescent="0.25">
      <c r="C1794" s="71"/>
      <c r="K1794" s="71"/>
      <c r="L1794" s="71"/>
      <c r="M1794" s="67"/>
    </row>
    <row r="1795" spans="3:13" x14ac:dyDescent="0.25">
      <c r="C1795" s="71"/>
      <c r="K1795" s="71"/>
      <c r="L1795" s="71"/>
      <c r="M1795" s="67"/>
    </row>
    <row r="1796" spans="3:13" x14ac:dyDescent="0.25">
      <c r="C1796" s="71"/>
      <c r="K1796" s="71"/>
      <c r="L1796" s="71"/>
      <c r="M1796" s="67"/>
    </row>
    <row r="1797" spans="3:13" x14ac:dyDescent="0.25">
      <c r="C1797" s="71"/>
      <c r="K1797" s="71"/>
      <c r="L1797" s="71"/>
      <c r="M1797" s="67"/>
    </row>
    <row r="1798" spans="3:13" x14ac:dyDescent="0.25">
      <c r="C1798" s="71"/>
      <c r="K1798" s="71"/>
      <c r="L1798" s="71"/>
      <c r="M1798" s="67"/>
    </row>
    <row r="1799" spans="3:13" x14ac:dyDescent="0.25">
      <c r="C1799" s="71"/>
      <c r="K1799" s="71"/>
      <c r="L1799" s="71"/>
      <c r="M1799" s="67"/>
    </row>
    <row r="1800" spans="3:13" x14ac:dyDescent="0.25">
      <c r="C1800" s="71"/>
      <c r="K1800" s="71"/>
      <c r="L1800" s="71"/>
      <c r="M1800" s="67"/>
    </row>
    <row r="1801" spans="3:13" x14ac:dyDescent="0.25">
      <c r="C1801" s="71"/>
      <c r="K1801" s="71"/>
      <c r="L1801" s="71"/>
      <c r="M1801" s="67"/>
    </row>
    <row r="1802" spans="3:13" x14ac:dyDescent="0.25">
      <c r="C1802" s="71"/>
      <c r="K1802" s="71"/>
      <c r="L1802" s="71"/>
      <c r="M1802" s="67"/>
    </row>
    <row r="1803" spans="3:13" x14ac:dyDescent="0.25">
      <c r="C1803" s="71"/>
      <c r="K1803" s="71"/>
      <c r="L1803" s="71"/>
      <c r="M1803" s="67"/>
    </row>
    <row r="1804" spans="3:13" x14ac:dyDescent="0.25">
      <c r="C1804" s="71"/>
      <c r="K1804" s="71"/>
      <c r="L1804" s="71"/>
      <c r="M1804" s="67"/>
    </row>
    <row r="1805" spans="3:13" x14ac:dyDescent="0.25">
      <c r="C1805" s="71"/>
      <c r="K1805" s="71"/>
      <c r="L1805" s="71"/>
      <c r="M1805" s="67"/>
    </row>
    <row r="1806" spans="3:13" x14ac:dyDescent="0.25">
      <c r="C1806" s="71"/>
      <c r="K1806" s="71"/>
      <c r="L1806" s="71"/>
      <c r="M1806" s="67"/>
    </row>
    <row r="1807" spans="3:13" x14ac:dyDescent="0.25">
      <c r="C1807" s="71"/>
      <c r="K1807" s="71"/>
      <c r="L1807" s="71"/>
      <c r="M1807" s="67"/>
    </row>
    <row r="1808" spans="3:13" x14ac:dyDescent="0.25">
      <c r="C1808" s="71"/>
      <c r="K1808" s="71"/>
      <c r="L1808" s="71"/>
      <c r="M1808" s="67"/>
    </row>
    <row r="1809" spans="3:13" x14ac:dyDescent="0.25">
      <c r="C1809" s="71"/>
      <c r="K1809" s="71"/>
      <c r="L1809" s="71"/>
      <c r="M1809" s="67"/>
    </row>
    <row r="1810" spans="3:13" x14ac:dyDescent="0.25">
      <c r="C1810" s="71"/>
      <c r="K1810" s="71"/>
      <c r="L1810" s="71"/>
      <c r="M1810" s="67"/>
    </row>
    <row r="1811" spans="3:13" x14ac:dyDescent="0.25">
      <c r="C1811" s="71"/>
      <c r="K1811" s="71"/>
      <c r="L1811" s="71"/>
      <c r="M1811" s="67"/>
    </row>
    <row r="1812" spans="3:13" x14ac:dyDescent="0.25">
      <c r="C1812" s="71"/>
      <c r="K1812" s="71"/>
      <c r="L1812" s="71"/>
      <c r="M1812" s="67"/>
    </row>
    <row r="1813" spans="3:13" x14ac:dyDescent="0.25">
      <c r="C1813" s="71"/>
      <c r="K1813" s="71"/>
      <c r="L1813" s="71"/>
      <c r="M1813" s="67"/>
    </row>
    <row r="1814" spans="3:13" x14ac:dyDescent="0.25">
      <c r="C1814" s="71"/>
      <c r="K1814" s="71"/>
      <c r="L1814" s="71"/>
      <c r="M1814" s="67"/>
    </row>
    <row r="1815" spans="3:13" x14ac:dyDescent="0.25">
      <c r="C1815" s="71"/>
      <c r="K1815" s="71"/>
      <c r="L1815" s="71"/>
      <c r="M1815" s="67"/>
    </row>
    <row r="1816" spans="3:13" x14ac:dyDescent="0.25">
      <c r="C1816" s="71"/>
      <c r="K1816" s="71"/>
      <c r="L1816" s="71"/>
      <c r="M1816" s="67"/>
    </row>
    <row r="1817" spans="3:13" x14ac:dyDescent="0.25">
      <c r="C1817" s="71"/>
      <c r="K1817" s="71"/>
      <c r="L1817" s="71"/>
      <c r="M1817" s="67"/>
    </row>
    <row r="1818" spans="3:13" x14ac:dyDescent="0.25">
      <c r="C1818" s="71"/>
      <c r="K1818" s="71"/>
      <c r="L1818" s="71"/>
      <c r="M1818" s="67"/>
    </row>
    <row r="1819" spans="3:13" x14ac:dyDescent="0.25">
      <c r="C1819" s="71"/>
      <c r="K1819" s="71"/>
      <c r="L1819" s="71"/>
      <c r="M1819" s="67"/>
    </row>
    <row r="1820" spans="3:13" x14ac:dyDescent="0.25">
      <c r="C1820" s="71"/>
      <c r="K1820" s="71"/>
      <c r="L1820" s="71"/>
      <c r="M1820" s="67"/>
    </row>
    <row r="1821" spans="3:13" x14ac:dyDescent="0.25">
      <c r="C1821" s="71"/>
      <c r="K1821" s="71"/>
      <c r="L1821" s="71"/>
      <c r="M1821" s="67"/>
    </row>
    <row r="1822" spans="3:13" x14ac:dyDescent="0.25">
      <c r="C1822" s="71"/>
      <c r="K1822" s="71"/>
      <c r="L1822" s="71"/>
      <c r="M1822" s="67"/>
    </row>
    <row r="1823" spans="3:13" x14ac:dyDescent="0.25">
      <c r="C1823" s="71"/>
      <c r="K1823" s="71"/>
      <c r="L1823" s="71"/>
      <c r="M1823" s="67"/>
    </row>
    <row r="1824" spans="3:13" x14ac:dyDescent="0.25">
      <c r="C1824" s="71"/>
      <c r="K1824" s="71"/>
      <c r="L1824" s="71"/>
      <c r="M1824" s="67"/>
    </row>
    <row r="1825" spans="3:13" x14ac:dyDescent="0.25">
      <c r="C1825" s="71"/>
      <c r="K1825" s="71"/>
      <c r="L1825" s="71"/>
      <c r="M1825" s="67"/>
    </row>
    <row r="1826" spans="3:13" x14ac:dyDescent="0.25">
      <c r="C1826" s="71"/>
      <c r="K1826" s="71"/>
      <c r="L1826" s="71"/>
      <c r="M1826" s="67"/>
    </row>
    <row r="1827" spans="3:13" x14ac:dyDescent="0.25">
      <c r="C1827" s="71"/>
      <c r="K1827" s="71"/>
      <c r="L1827" s="71"/>
      <c r="M1827" s="67"/>
    </row>
    <row r="1828" spans="3:13" x14ac:dyDescent="0.25">
      <c r="C1828" s="71"/>
      <c r="K1828" s="71"/>
      <c r="L1828" s="71"/>
      <c r="M1828" s="67"/>
    </row>
    <row r="1829" spans="3:13" x14ac:dyDescent="0.25">
      <c r="C1829" s="71"/>
      <c r="K1829" s="71"/>
      <c r="L1829" s="71"/>
      <c r="M1829" s="67"/>
    </row>
    <row r="1830" spans="3:13" x14ac:dyDescent="0.25">
      <c r="C1830" s="71"/>
      <c r="K1830" s="71"/>
      <c r="L1830" s="71"/>
      <c r="M1830" s="67"/>
    </row>
    <row r="1831" spans="3:13" x14ac:dyDescent="0.25">
      <c r="C1831" s="71"/>
      <c r="K1831" s="71"/>
      <c r="L1831" s="71"/>
      <c r="M1831" s="67"/>
    </row>
    <row r="1832" spans="3:13" x14ac:dyDescent="0.25">
      <c r="C1832" s="71"/>
      <c r="K1832" s="71"/>
      <c r="L1832" s="71"/>
      <c r="M1832" s="67"/>
    </row>
    <row r="1833" spans="3:13" x14ac:dyDescent="0.25">
      <c r="C1833" s="71"/>
      <c r="K1833" s="71"/>
      <c r="L1833" s="71"/>
      <c r="M1833" s="67"/>
    </row>
    <row r="1834" spans="3:13" x14ac:dyDescent="0.25">
      <c r="C1834" s="71"/>
      <c r="K1834" s="71"/>
      <c r="L1834" s="71"/>
      <c r="M1834" s="67"/>
    </row>
    <row r="1835" spans="3:13" x14ac:dyDescent="0.25">
      <c r="C1835" s="71"/>
      <c r="K1835" s="71"/>
      <c r="L1835" s="71"/>
      <c r="M1835" s="67"/>
    </row>
    <row r="1836" spans="3:13" x14ac:dyDescent="0.25">
      <c r="C1836" s="71"/>
      <c r="K1836" s="71"/>
      <c r="L1836" s="71"/>
      <c r="M1836" s="67"/>
    </row>
    <row r="1837" spans="3:13" x14ac:dyDescent="0.25">
      <c r="C1837" s="71"/>
      <c r="K1837" s="71"/>
      <c r="L1837" s="71"/>
      <c r="M1837" s="67"/>
    </row>
    <row r="1838" spans="3:13" x14ac:dyDescent="0.25">
      <c r="C1838" s="71"/>
      <c r="K1838" s="71"/>
      <c r="L1838" s="71"/>
      <c r="M1838" s="67"/>
    </row>
    <row r="1839" spans="3:13" x14ac:dyDescent="0.25">
      <c r="C1839" s="71"/>
      <c r="K1839" s="71"/>
      <c r="L1839" s="71"/>
      <c r="M1839" s="67"/>
    </row>
    <row r="1840" spans="3:13" x14ac:dyDescent="0.25">
      <c r="C1840" s="71"/>
      <c r="K1840" s="71"/>
      <c r="L1840" s="71"/>
      <c r="M1840" s="67"/>
    </row>
    <row r="1841" spans="3:13" x14ac:dyDescent="0.25">
      <c r="C1841" s="71"/>
      <c r="K1841" s="71"/>
      <c r="L1841" s="71"/>
      <c r="M1841" s="67"/>
    </row>
    <row r="1842" spans="3:13" x14ac:dyDescent="0.25">
      <c r="C1842" s="71"/>
      <c r="K1842" s="71"/>
      <c r="L1842" s="71"/>
      <c r="M1842" s="67"/>
    </row>
    <row r="1843" spans="3:13" x14ac:dyDescent="0.25">
      <c r="C1843" s="71"/>
      <c r="K1843" s="71"/>
      <c r="L1843" s="71"/>
      <c r="M1843" s="67"/>
    </row>
    <row r="1844" spans="3:13" x14ac:dyDescent="0.25">
      <c r="C1844" s="71"/>
      <c r="K1844" s="71"/>
      <c r="L1844" s="71"/>
      <c r="M1844" s="67"/>
    </row>
    <row r="1845" spans="3:13" x14ac:dyDescent="0.25">
      <c r="C1845" s="71"/>
      <c r="K1845" s="71"/>
      <c r="L1845" s="71"/>
      <c r="M1845" s="67"/>
    </row>
    <row r="1846" spans="3:13" x14ac:dyDescent="0.25">
      <c r="C1846" s="71"/>
      <c r="K1846" s="71"/>
      <c r="L1846" s="71"/>
      <c r="M1846" s="67"/>
    </row>
    <row r="1847" spans="3:13" x14ac:dyDescent="0.25">
      <c r="C1847" s="71"/>
      <c r="K1847" s="71"/>
      <c r="L1847" s="71"/>
      <c r="M1847" s="67"/>
    </row>
    <row r="1848" spans="3:13" x14ac:dyDescent="0.25">
      <c r="C1848" s="71"/>
      <c r="K1848" s="71"/>
      <c r="L1848" s="71"/>
      <c r="M1848" s="67"/>
    </row>
    <row r="1849" spans="3:13" x14ac:dyDescent="0.25">
      <c r="C1849" s="71"/>
      <c r="K1849" s="71"/>
      <c r="L1849" s="71"/>
      <c r="M1849" s="67"/>
    </row>
    <row r="1850" spans="3:13" x14ac:dyDescent="0.25">
      <c r="C1850" s="71"/>
      <c r="K1850" s="71"/>
      <c r="L1850" s="71"/>
      <c r="M1850" s="67"/>
    </row>
    <row r="1851" spans="3:13" x14ac:dyDescent="0.25">
      <c r="C1851" s="71"/>
      <c r="K1851" s="71"/>
      <c r="L1851" s="71"/>
      <c r="M1851" s="67"/>
    </row>
    <row r="1852" spans="3:13" x14ac:dyDescent="0.25">
      <c r="C1852" s="71"/>
      <c r="K1852" s="71"/>
      <c r="L1852" s="71"/>
      <c r="M1852" s="67"/>
    </row>
    <row r="1853" spans="3:13" x14ac:dyDescent="0.25">
      <c r="C1853" s="71"/>
      <c r="K1853" s="71"/>
      <c r="L1853" s="71"/>
      <c r="M1853" s="67"/>
    </row>
    <row r="1854" spans="3:13" x14ac:dyDescent="0.25">
      <c r="C1854" s="71"/>
      <c r="K1854" s="71"/>
      <c r="L1854" s="71"/>
      <c r="M1854" s="67"/>
    </row>
    <row r="1855" spans="3:13" x14ac:dyDescent="0.25">
      <c r="C1855" s="71"/>
      <c r="K1855" s="71"/>
      <c r="L1855" s="71"/>
      <c r="M1855" s="67"/>
    </row>
    <row r="1856" spans="3:13" x14ac:dyDescent="0.25">
      <c r="C1856" s="71"/>
      <c r="K1856" s="71"/>
      <c r="L1856" s="71"/>
      <c r="M1856" s="67"/>
    </row>
    <row r="1857" spans="3:13" x14ac:dyDescent="0.25">
      <c r="C1857" s="71"/>
      <c r="K1857" s="71"/>
      <c r="L1857" s="71"/>
      <c r="M1857" s="67"/>
    </row>
    <row r="1858" spans="3:13" x14ac:dyDescent="0.25">
      <c r="C1858" s="71"/>
      <c r="K1858" s="71"/>
      <c r="L1858" s="71"/>
      <c r="M1858" s="67"/>
    </row>
    <row r="1859" spans="3:13" x14ac:dyDescent="0.25">
      <c r="C1859" s="71"/>
      <c r="K1859" s="71"/>
      <c r="L1859" s="71"/>
      <c r="M1859" s="67"/>
    </row>
    <row r="1860" spans="3:13" x14ac:dyDescent="0.25">
      <c r="C1860" s="71"/>
      <c r="K1860" s="71"/>
      <c r="L1860" s="71"/>
      <c r="M1860" s="67"/>
    </row>
    <row r="1861" spans="3:13" x14ac:dyDescent="0.25">
      <c r="C1861" s="71"/>
      <c r="K1861" s="71"/>
      <c r="L1861" s="71"/>
      <c r="M1861" s="67"/>
    </row>
    <row r="1862" spans="3:13" x14ac:dyDescent="0.25">
      <c r="C1862" s="71"/>
      <c r="K1862" s="71"/>
      <c r="L1862" s="71"/>
      <c r="M1862" s="67"/>
    </row>
    <row r="1863" spans="3:13" x14ac:dyDescent="0.25">
      <c r="C1863" s="71"/>
      <c r="K1863" s="71"/>
      <c r="L1863" s="71"/>
      <c r="M1863" s="67"/>
    </row>
    <row r="1864" spans="3:13" x14ac:dyDescent="0.25">
      <c r="C1864" s="71"/>
      <c r="K1864" s="71"/>
      <c r="L1864" s="71"/>
      <c r="M1864" s="67"/>
    </row>
    <row r="1865" spans="3:13" x14ac:dyDescent="0.25">
      <c r="C1865" s="71"/>
      <c r="K1865" s="71"/>
      <c r="L1865" s="71"/>
      <c r="M1865" s="67"/>
    </row>
    <row r="1866" spans="3:13" x14ac:dyDescent="0.25">
      <c r="C1866" s="71"/>
      <c r="K1866" s="71"/>
      <c r="L1866" s="71"/>
      <c r="M1866" s="67"/>
    </row>
    <row r="1867" spans="3:13" x14ac:dyDescent="0.25">
      <c r="C1867" s="71"/>
      <c r="K1867" s="71"/>
      <c r="L1867" s="71"/>
      <c r="M1867" s="67"/>
    </row>
    <row r="1868" spans="3:13" x14ac:dyDescent="0.25">
      <c r="C1868" s="71"/>
      <c r="K1868" s="71"/>
      <c r="L1868" s="71"/>
      <c r="M1868" s="67"/>
    </row>
    <row r="1869" spans="3:13" x14ac:dyDescent="0.25">
      <c r="C1869" s="71"/>
      <c r="K1869" s="71"/>
      <c r="L1869" s="71"/>
      <c r="M1869" s="67"/>
    </row>
    <row r="1870" spans="3:13" x14ac:dyDescent="0.25">
      <c r="C1870" s="71"/>
      <c r="K1870" s="71"/>
      <c r="L1870" s="71"/>
      <c r="M1870" s="67"/>
    </row>
    <row r="1871" spans="3:13" x14ac:dyDescent="0.25">
      <c r="C1871" s="71"/>
      <c r="K1871" s="71"/>
      <c r="L1871" s="71"/>
      <c r="M1871" s="67"/>
    </row>
    <row r="1872" spans="3:13" x14ac:dyDescent="0.25">
      <c r="C1872" s="71"/>
      <c r="K1872" s="71"/>
      <c r="L1872" s="71"/>
      <c r="M1872" s="67"/>
    </row>
    <row r="1873" spans="3:13" x14ac:dyDescent="0.25">
      <c r="C1873" s="71"/>
      <c r="K1873" s="71"/>
      <c r="L1873" s="71"/>
      <c r="M1873" s="67"/>
    </row>
    <row r="1874" spans="3:13" x14ac:dyDescent="0.25">
      <c r="C1874" s="71"/>
      <c r="K1874" s="71"/>
      <c r="L1874" s="71"/>
      <c r="M1874" s="67"/>
    </row>
    <row r="1875" spans="3:13" x14ac:dyDescent="0.25">
      <c r="C1875" s="71"/>
      <c r="K1875" s="71"/>
      <c r="L1875" s="71"/>
      <c r="M1875" s="67"/>
    </row>
    <row r="1876" spans="3:13" x14ac:dyDescent="0.25">
      <c r="C1876" s="71"/>
      <c r="K1876" s="71"/>
      <c r="L1876" s="71"/>
      <c r="M1876" s="67"/>
    </row>
    <row r="1877" spans="3:13" x14ac:dyDescent="0.25">
      <c r="C1877" s="71"/>
      <c r="K1877" s="71"/>
      <c r="L1877" s="71"/>
      <c r="M1877" s="67"/>
    </row>
    <row r="1878" spans="3:13" x14ac:dyDescent="0.25">
      <c r="C1878" s="71"/>
      <c r="K1878" s="71"/>
      <c r="L1878" s="71"/>
      <c r="M1878" s="67"/>
    </row>
    <row r="1879" spans="3:13" x14ac:dyDescent="0.25">
      <c r="C1879" s="71"/>
      <c r="K1879" s="71"/>
      <c r="L1879" s="71"/>
      <c r="M1879" s="67"/>
    </row>
    <row r="1880" spans="3:13" x14ac:dyDescent="0.25">
      <c r="C1880" s="71"/>
      <c r="K1880" s="71"/>
      <c r="L1880" s="71"/>
      <c r="M1880" s="67"/>
    </row>
    <row r="1881" spans="3:13" x14ac:dyDescent="0.25">
      <c r="C1881" s="71"/>
      <c r="K1881" s="71"/>
      <c r="L1881" s="71"/>
      <c r="M1881" s="67"/>
    </row>
    <row r="1882" spans="3:13" x14ac:dyDescent="0.25">
      <c r="C1882" s="71"/>
      <c r="K1882" s="71"/>
      <c r="L1882" s="71"/>
      <c r="M1882" s="67"/>
    </row>
    <row r="1883" spans="3:13" x14ac:dyDescent="0.25">
      <c r="C1883" s="71"/>
      <c r="K1883" s="71"/>
      <c r="L1883" s="71"/>
      <c r="M1883" s="67"/>
    </row>
    <row r="1884" spans="3:13" x14ac:dyDescent="0.25">
      <c r="C1884" s="71"/>
      <c r="K1884" s="71"/>
      <c r="L1884" s="71"/>
      <c r="M1884" s="67"/>
    </row>
    <row r="1885" spans="3:13" x14ac:dyDescent="0.25">
      <c r="C1885" s="71"/>
      <c r="K1885" s="71"/>
      <c r="L1885" s="71"/>
      <c r="M1885" s="67"/>
    </row>
    <row r="1886" spans="3:13" x14ac:dyDescent="0.25">
      <c r="C1886" s="71"/>
      <c r="K1886" s="71"/>
      <c r="L1886" s="71"/>
      <c r="M1886" s="67"/>
    </row>
    <row r="1887" spans="3:13" x14ac:dyDescent="0.25">
      <c r="C1887" s="71"/>
      <c r="K1887" s="71"/>
      <c r="L1887" s="71"/>
      <c r="M1887" s="67"/>
    </row>
    <row r="1888" spans="3:13" x14ac:dyDescent="0.25">
      <c r="C1888" s="71"/>
      <c r="K1888" s="71"/>
      <c r="L1888" s="71"/>
      <c r="M1888" s="67"/>
    </row>
    <row r="1889" spans="3:13" x14ac:dyDescent="0.25">
      <c r="C1889" s="71"/>
      <c r="K1889" s="71"/>
      <c r="L1889" s="71"/>
      <c r="M1889" s="67"/>
    </row>
    <row r="1890" spans="3:13" x14ac:dyDescent="0.25">
      <c r="C1890" s="71"/>
      <c r="K1890" s="71"/>
      <c r="L1890" s="71"/>
      <c r="M1890" s="67"/>
    </row>
    <row r="1891" spans="3:13" x14ac:dyDescent="0.25">
      <c r="C1891" s="71"/>
      <c r="K1891" s="71"/>
      <c r="L1891" s="71"/>
      <c r="M1891" s="67"/>
    </row>
    <row r="1892" spans="3:13" x14ac:dyDescent="0.25">
      <c r="C1892" s="71"/>
      <c r="K1892" s="71"/>
      <c r="L1892" s="71"/>
      <c r="M1892" s="67"/>
    </row>
    <row r="1893" spans="3:13" x14ac:dyDescent="0.25">
      <c r="C1893" s="71"/>
      <c r="K1893" s="71"/>
      <c r="L1893" s="71"/>
      <c r="M1893" s="67"/>
    </row>
    <row r="1894" spans="3:13" x14ac:dyDescent="0.25">
      <c r="C1894" s="71"/>
      <c r="K1894" s="71"/>
      <c r="L1894" s="71"/>
      <c r="M1894" s="67"/>
    </row>
    <row r="1895" spans="3:13" x14ac:dyDescent="0.25">
      <c r="C1895" s="71"/>
      <c r="K1895" s="71"/>
      <c r="L1895" s="71"/>
      <c r="M1895" s="67"/>
    </row>
    <row r="1896" spans="3:13" x14ac:dyDescent="0.25">
      <c r="C1896" s="71"/>
      <c r="K1896" s="71"/>
      <c r="L1896" s="71"/>
      <c r="M1896" s="67"/>
    </row>
    <row r="1897" spans="3:13" x14ac:dyDescent="0.25">
      <c r="C1897" s="71"/>
      <c r="K1897" s="71"/>
      <c r="L1897" s="71"/>
      <c r="M1897" s="67"/>
    </row>
    <row r="1898" spans="3:13" x14ac:dyDescent="0.25">
      <c r="C1898" s="71"/>
      <c r="K1898" s="71"/>
      <c r="L1898" s="71"/>
      <c r="M1898" s="67"/>
    </row>
    <row r="1899" spans="3:13" x14ac:dyDescent="0.25">
      <c r="C1899" s="71"/>
      <c r="K1899" s="71"/>
      <c r="L1899" s="71"/>
      <c r="M1899" s="67"/>
    </row>
    <row r="1900" spans="3:13" x14ac:dyDescent="0.25">
      <c r="C1900" s="71"/>
      <c r="K1900" s="71"/>
      <c r="L1900" s="71"/>
      <c r="M1900" s="67"/>
    </row>
    <row r="1901" spans="3:13" x14ac:dyDescent="0.25">
      <c r="C1901" s="71"/>
      <c r="K1901" s="71"/>
      <c r="L1901" s="71"/>
      <c r="M1901" s="67"/>
    </row>
    <row r="1902" spans="3:13" x14ac:dyDescent="0.25">
      <c r="C1902" s="71"/>
      <c r="K1902" s="71"/>
      <c r="L1902" s="71"/>
      <c r="M1902" s="67"/>
    </row>
    <row r="1903" spans="3:13" x14ac:dyDescent="0.25">
      <c r="C1903" s="71"/>
      <c r="K1903" s="71"/>
      <c r="L1903" s="71"/>
      <c r="M1903" s="67"/>
    </row>
    <row r="1904" spans="3:13" x14ac:dyDescent="0.25">
      <c r="C1904" s="71"/>
      <c r="K1904" s="71"/>
      <c r="L1904" s="71"/>
      <c r="M1904" s="67"/>
    </row>
    <row r="1905" spans="3:13" x14ac:dyDescent="0.25">
      <c r="C1905" s="71"/>
      <c r="K1905" s="71"/>
      <c r="L1905" s="71"/>
      <c r="M1905" s="67"/>
    </row>
    <row r="1906" spans="3:13" x14ac:dyDescent="0.25">
      <c r="C1906" s="71"/>
      <c r="K1906" s="71"/>
      <c r="L1906" s="71"/>
      <c r="M1906" s="67"/>
    </row>
    <row r="1907" spans="3:13" x14ac:dyDescent="0.25">
      <c r="C1907" s="71"/>
      <c r="K1907" s="71"/>
      <c r="L1907" s="71"/>
      <c r="M1907" s="67"/>
    </row>
    <row r="1908" spans="3:13" x14ac:dyDescent="0.25">
      <c r="C1908" s="71"/>
      <c r="K1908" s="71"/>
      <c r="L1908" s="71"/>
      <c r="M1908" s="67"/>
    </row>
    <row r="1909" spans="3:13" x14ac:dyDescent="0.25">
      <c r="C1909" s="71"/>
      <c r="K1909" s="71"/>
      <c r="L1909" s="71"/>
      <c r="M1909" s="67"/>
    </row>
    <row r="1910" spans="3:13" x14ac:dyDescent="0.25">
      <c r="C1910" s="71"/>
      <c r="K1910" s="71"/>
      <c r="L1910" s="71"/>
      <c r="M1910" s="67"/>
    </row>
    <row r="1911" spans="3:13" x14ac:dyDescent="0.25">
      <c r="C1911" s="71"/>
      <c r="K1911" s="71"/>
      <c r="L1911" s="71"/>
      <c r="M1911" s="67"/>
    </row>
    <row r="1912" spans="3:13" x14ac:dyDescent="0.25">
      <c r="C1912" s="71"/>
      <c r="K1912" s="71"/>
      <c r="L1912" s="71"/>
      <c r="M1912" s="67"/>
    </row>
    <row r="1913" spans="3:13" x14ac:dyDescent="0.25">
      <c r="C1913" s="71"/>
      <c r="K1913" s="71"/>
      <c r="L1913" s="71"/>
      <c r="M1913" s="67"/>
    </row>
    <row r="1914" spans="3:13" x14ac:dyDescent="0.25">
      <c r="C1914" s="71"/>
      <c r="K1914" s="71"/>
      <c r="L1914" s="71"/>
      <c r="M1914" s="67"/>
    </row>
    <row r="1915" spans="3:13" x14ac:dyDescent="0.25">
      <c r="C1915" s="71"/>
      <c r="K1915" s="71"/>
      <c r="L1915" s="71"/>
      <c r="M1915" s="67"/>
    </row>
    <row r="1916" spans="3:13" x14ac:dyDescent="0.25">
      <c r="C1916" s="71"/>
      <c r="K1916" s="71"/>
      <c r="L1916" s="71"/>
      <c r="M1916" s="67"/>
    </row>
    <row r="1917" spans="3:13" x14ac:dyDescent="0.25">
      <c r="C1917" s="71"/>
      <c r="K1917" s="71"/>
      <c r="L1917" s="71"/>
      <c r="M1917" s="67"/>
    </row>
    <row r="1918" spans="3:13" x14ac:dyDescent="0.25">
      <c r="C1918" s="71"/>
      <c r="K1918" s="71"/>
      <c r="L1918" s="71"/>
      <c r="M1918" s="67"/>
    </row>
    <row r="1919" spans="3:13" x14ac:dyDescent="0.25">
      <c r="C1919" s="71"/>
      <c r="K1919" s="71"/>
      <c r="L1919" s="71"/>
      <c r="M1919" s="67"/>
    </row>
    <row r="1920" spans="3:13" x14ac:dyDescent="0.25">
      <c r="C1920" s="71"/>
      <c r="K1920" s="71"/>
      <c r="L1920" s="71"/>
      <c r="M1920" s="67"/>
    </row>
    <row r="1921" spans="3:13" x14ac:dyDescent="0.25">
      <c r="C1921" s="71"/>
      <c r="K1921" s="71"/>
      <c r="L1921" s="71"/>
      <c r="M1921" s="67"/>
    </row>
    <row r="1922" spans="3:13" x14ac:dyDescent="0.25">
      <c r="C1922" s="71"/>
      <c r="K1922" s="71"/>
      <c r="L1922" s="71"/>
      <c r="M1922" s="67"/>
    </row>
    <row r="1923" spans="3:13" x14ac:dyDescent="0.25">
      <c r="C1923" s="71"/>
      <c r="K1923" s="71"/>
      <c r="L1923" s="71"/>
      <c r="M1923" s="67"/>
    </row>
    <row r="1924" spans="3:13" x14ac:dyDescent="0.25">
      <c r="C1924" s="71"/>
      <c r="K1924" s="71"/>
      <c r="L1924" s="71"/>
      <c r="M1924" s="67"/>
    </row>
    <row r="1925" spans="3:13" x14ac:dyDescent="0.25">
      <c r="C1925" s="71"/>
      <c r="K1925" s="71"/>
      <c r="L1925" s="71"/>
      <c r="M1925" s="67"/>
    </row>
    <row r="1926" spans="3:13" x14ac:dyDescent="0.25">
      <c r="C1926" s="71"/>
      <c r="K1926" s="71"/>
      <c r="L1926" s="71"/>
      <c r="M1926" s="67"/>
    </row>
    <row r="1927" spans="3:13" x14ac:dyDescent="0.25">
      <c r="C1927" s="71"/>
      <c r="K1927" s="71"/>
      <c r="L1927" s="71"/>
      <c r="M1927" s="67"/>
    </row>
    <row r="1928" spans="3:13" x14ac:dyDescent="0.25">
      <c r="C1928" s="71"/>
      <c r="K1928" s="71"/>
      <c r="L1928" s="71"/>
      <c r="M1928" s="67"/>
    </row>
    <row r="1929" spans="3:13" x14ac:dyDescent="0.25">
      <c r="C1929" s="71"/>
      <c r="K1929" s="71"/>
      <c r="L1929" s="71"/>
      <c r="M1929" s="67"/>
    </row>
    <row r="1930" spans="3:13" x14ac:dyDescent="0.25">
      <c r="C1930" s="71"/>
      <c r="K1930" s="71"/>
      <c r="L1930" s="71"/>
      <c r="M1930" s="67"/>
    </row>
    <row r="1931" spans="3:13" x14ac:dyDescent="0.25">
      <c r="C1931" s="71"/>
      <c r="K1931" s="71"/>
      <c r="L1931" s="71"/>
      <c r="M1931" s="67"/>
    </row>
    <row r="1932" spans="3:13" x14ac:dyDescent="0.25">
      <c r="C1932" s="71"/>
      <c r="K1932" s="71"/>
      <c r="L1932" s="71"/>
      <c r="M1932" s="67"/>
    </row>
    <row r="1933" spans="3:13" x14ac:dyDescent="0.25">
      <c r="C1933" s="71"/>
      <c r="K1933" s="71"/>
      <c r="L1933" s="71"/>
      <c r="M1933" s="67"/>
    </row>
    <row r="1934" spans="3:13" x14ac:dyDescent="0.25">
      <c r="C1934" s="71"/>
      <c r="K1934" s="71"/>
      <c r="L1934" s="71"/>
      <c r="M1934" s="67"/>
    </row>
    <row r="1935" spans="3:13" x14ac:dyDescent="0.25">
      <c r="C1935" s="71"/>
      <c r="K1935" s="71"/>
      <c r="L1935" s="71"/>
      <c r="M1935" s="67"/>
    </row>
    <row r="1936" spans="3:13" x14ac:dyDescent="0.25">
      <c r="C1936" s="71"/>
      <c r="K1936" s="71"/>
      <c r="L1936" s="71"/>
      <c r="M1936" s="67"/>
    </row>
    <row r="1937" spans="3:13" x14ac:dyDescent="0.25">
      <c r="C1937" s="71"/>
      <c r="K1937" s="71"/>
      <c r="L1937" s="71"/>
      <c r="M1937" s="67"/>
    </row>
    <row r="1938" spans="3:13" x14ac:dyDescent="0.25">
      <c r="C1938" s="71"/>
      <c r="K1938" s="71"/>
      <c r="L1938" s="71"/>
      <c r="M1938" s="67"/>
    </row>
    <row r="1939" spans="3:13" x14ac:dyDescent="0.25">
      <c r="C1939" s="71"/>
      <c r="K1939" s="71"/>
      <c r="L1939" s="71"/>
      <c r="M1939" s="67"/>
    </row>
    <row r="1940" spans="3:13" x14ac:dyDescent="0.25">
      <c r="C1940" s="71"/>
      <c r="K1940" s="71"/>
      <c r="L1940" s="71"/>
      <c r="M1940" s="67"/>
    </row>
    <row r="1941" spans="3:13" x14ac:dyDescent="0.25">
      <c r="C1941" s="71"/>
      <c r="K1941" s="71"/>
      <c r="L1941" s="71"/>
      <c r="M1941" s="67"/>
    </row>
    <row r="1942" spans="3:13" x14ac:dyDescent="0.25">
      <c r="C1942" s="71"/>
      <c r="K1942" s="71"/>
      <c r="L1942" s="71"/>
      <c r="M1942" s="67"/>
    </row>
    <row r="1943" spans="3:13" x14ac:dyDescent="0.25">
      <c r="C1943" s="71"/>
      <c r="K1943" s="71"/>
      <c r="L1943" s="71"/>
      <c r="M1943" s="67"/>
    </row>
    <row r="1944" spans="3:13" x14ac:dyDescent="0.25">
      <c r="C1944" s="71"/>
      <c r="K1944" s="71"/>
      <c r="L1944" s="71"/>
      <c r="M1944" s="67"/>
    </row>
    <row r="1945" spans="3:13" x14ac:dyDescent="0.25">
      <c r="C1945" s="71"/>
      <c r="K1945" s="71"/>
      <c r="L1945" s="71"/>
      <c r="M1945" s="67"/>
    </row>
    <row r="1946" spans="3:13" x14ac:dyDescent="0.25">
      <c r="C1946" s="71"/>
      <c r="K1946" s="71"/>
      <c r="L1946" s="71"/>
      <c r="M1946" s="67"/>
    </row>
    <row r="1947" spans="3:13" x14ac:dyDescent="0.25">
      <c r="C1947" s="71"/>
      <c r="K1947" s="71"/>
      <c r="L1947" s="71"/>
      <c r="M1947" s="67"/>
    </row>
    <row r="1948" spans="3:13" x14ac:dyDescent="0.25">
      <c r="C1948" s="71"/>
      <c r="K1948" s="71"/>
      <c r="L1948" s="71"/>
      <c r="M1948" s="67"/>
    </row>
    <row r="1949" spans="3:13" x14ac:dyDescent="0.25">
      <c r="C1949" s="71"/>
      <c r="K1949" s="71"/>
      <c r="L1949" s="71"/>
      <c r="M1949" s="67"/>
    </row>
    <row r="1950" spans="3:13" x14ac:dyDescent="0.25">
      <c r="C1950" s="71"/>
      <c r="K1950" s="71"/>
      <c r="L1950" s="71"/>
      <c r="M1950" s="67"/>
    </row>
    <row r="1951" spans="3:13" x14ac:dyDescent="0.25">
      <c r="C1951" s="71"/>
      <c r="K1951" s="71"/>
      <c r="L1951" s="71"/>
      <c r="M1951" s="67"/>
    </row>
    <row r="1952" spans="3:13" x14ac:dyDescent="0.25">
      <c r="C1952" s="71"/>
      <c r="K1952" s="71"/>
      <c r="L1952" s="71"/>
      <c r="M1952" s="67"/>
    </row>
    <row r="1953" spans="3:13" x14ac:dyDescent="0.25">
      <c r="C1953" s="71"/>
      <c r="K1953" s="71"/>
      <c r="L1953" s="71"/>
      <c r="M1953" s="67"/>
    </row>
    <row r="1954" spans="3:13" x14ac:dyDescent="0.25">
      <c r="C1954" s="71"/>
      <c r="K1954" s="71"/>
      <c r="L1954" s="71"/>
      <c r="M1954" s="67"/>
    </row>
    <row r="1955" spans="3:13" x14ac:dyDescent="0.25">
      <c r="C1955" s="71"/>
      <c r="K1955" s="71"/>
      <c r="L1955" s="71"/>
      <c r="M1955" s="67"/>
    </row>
    <row r="1956" spans="3:13" x14ac:dyDescent="0.25">
      <c r="C1956" s="71"/>
      <c r="K1956" s="71"/>
      <c r="L1956" s="71"/>
      <c r="M1956" s="67"/>
    </row>
    <row r="1957" spans="3:13" x14ac:dyDescent="0.25">
      <c r="C1957" s="71"/>
      <c r="K1957" s="71"/>
      <c r="L1957" s="71"/>
      <c r="M1957" s="67"/>
    </row>
    <row r="1958" spans="3:13" x14ac:dyDescent="0.25">
      <c r="C1958" s="71"/>
      <c r="K1958" s="71"/>
      <c r="L1958" s="71"/>
      <c r="M1958" s="67"/>
    </row>
    <row r="1959" spans="3:13" x14ac:dyDescent="0.25">
      <c r="C1959" s="71"/>
      <c r="K1959" s="71"/>
      <c r="L1959" s="71"/>
      <c r="M1959" s="67"/>
    </row>
    <row r="1960" spans="3:13" x14ac:dyDescent="0.25">
      <c r="C1960" s="71"/>
      <c r="K1960" s="71"/>
      <c r="L1960" s="71"/>
      <c r="M1960" s="67"/>
    </row>
    <row r="1961" spans="3:13" x14ac:dyDescent="0.25">
      <c r="C1961" s="71"/>
      <c r="K1961" s="71"/>
      <c r="L1961" s="71"/>
      <c r="M1961" s="67"/>
    </row>
    <row r="1962" spans="3:13" x14ac:dyDescent="0.25">
      <c r="C1962" s="71"/>
      <c r="K1962" s="71"/>
      <c r="L1962" s="71"/>
      <c r="M1962" s="67"/>
    </row>
    <row r="1963" spans="3:13" x14ac:dyDescent="0.25">
      <c r="C1963" s="71"/>
      <c r="K1963" s="71"/>
      <c r="L1963" s="71"/>
      <c r="M1963" s="67"/>
    </row>
    <row r="1964" spans="3:13" x14ac:dyDescent="0.25">
      <c r="C1964" s="71"/>
      <c r="K1964" s="71"/>
      <c r="L1964" s="71"/>
      <c r="M1964" s="67"/>
    </row>
    <row r="1965" spans="3:13" x14ac:dyDescent="0.25">
      <c r="C1965" s="71"/>
      <c r="K1965" s="71"/>
      <c r="L1965" s="71"/>
      <c r="M1965" s="67"/>
    </row>
    <row r="1966" spans="3:13" x14ac:dyDescent="0.25">
      <c r="C1966" s="71"/>
      <c r="K1966" s="71"/>
      <c r="L1966" s="71"/>
      <c r="M1966" s="67"/>
    </row>
    <row r="1967" spans="3:13" x14ac:dyDescent="0.25">
      <c r="C1967" s="71"/>
      <c r="K1967" s="71"/>
      <c r="L1967" s="71"/>
      <c r="M1967" s="67"/>
    </row>
    <row r="1968" spans="3:13" x14ac:dyDescent="0.25">
      <c r="C1968" s="71"/>
      <c r="K1968" s="71"/>
      <c r="L1968" s="71"/>
      <c r="M1968" s="67"/>
    </row>
    <row r="1969" spans="3:13" x14ac:dyDescent="0.25">
      <c r="C1969" s="71"/>
      <c r="K1969" s="71"/>
      <c r="L1969" s="71"/>
      <c r="M1969" s="67"/>
    </row>
    <row r="1970" spans="3:13" x14ac:dyDescent="0.25">
      <c r="C1970" s="71"/>
      <c r="K1970" s="71"/>
      <c r="L1970" s="71"/>
      <c r="M1970" s="67"/>
    </row>
    <row r="1971" spans="3:13" x14ac:dyDescent="0.25">
      <c r="C1971" s="71"/>
      <c r="K1971" s="71"/>
      <c r="L1971" s="71"/>
      <c r="M1971" s="67"/>
    </row>
    <row r="1972" spans="3:13" x14ac:dyDescent="0.25">
      <c r="C1972" s="71"/>
      <c r="K1972" s="71"/>
      <c r="L1972" s="71"/>
      <c r="M1972" s="67"/>
    </row>
    <row r="1973" spans="3:13" x14ac:dyDescent="0.25">
      <c r="C1973" s="71"/>
      <c r="K1973" s="71"/>
      <c r="L1973" s="71"/>
      <c r="M1973" s="67"/>
    </row>
    <row r="1974" spans="3:13" x14ac:dyDescent="0.25">
      <c r="C1974" s="71"/>
      <c r="K1974" s="71"/>
      <c r="L1974" s="71"/>
      <c r="M1974" s="67"/>
    </row>
    <row r="1975" spans="3:13" x14ac:dyDescent="0.25">
      <c r="C1975" s="71"/>
      <c r="K1975" s="71"/>
      <c r="L1975" s="71"/>
      <c r="M1975" s="67"/>
    </row>
    <row r="1976" spans="3:13" x14ac:dyDescent="0.25">
      <c r="C1976" s="71"/>
      <c r="K1976" s="71"/>
      <c r="L1976" s="71"/>
      <c r="M1976" s="67"/>
    </row>
    <row r="1977" spans="3:13" x14ac:dyDescent="0.25">
      <c r="C1977" s="71"/>
      <c r="K1977" s="71"/>
      <c r="L1977" s="71"/>
      <c r="M1977" s="67"/>
    </row>
    <row r="1978" spans="3:13" x14ac:dyDescent="0.25">
      <c r="C1978" s="71"/>
      <c r="K1978" s="71"/>
      <c r="L1978" s="71"/>
      <c r="M1978" s="67"/>
    </row>
    <row r="1979" spans="3:13" x14ac:dyDescent="0.25">
      <c r="C1979" s="71"/>
      <c r="K1979" s="71"/>
      <c r="L1979" s="71"/>
      <c r="M1979" s="67"/>
    </row>
    <row r="1980" spans="3:13" x14ac:dyDescent="0.25">
      <c r="C1980" s="71"/>
      <c r="K1980" s="71"/>
      <c r="L1980" s="71"/>
      <c r="M1980" s="67"/>
    </row>
    <row r="1981" spans="3:13" x14ac:dyDescent="0.25">
      <c r="C1981" s="71"/>
      <c r="K1981" s="71"/>
      <c r="L1981" s="71"/>
      <c r="M1981" s="67"/>
    </row>
    <row r="1982" spans="3:13" x14ac:dyDescent="0.25">
      <c r="C1982" s="71"/>
      <c r="K1982" s="71"/>
      <c r="L1982" s="71"/>
      <c r="M1982" s="67"/>
    </row>
    <row r="1983" spans="3:13" x14ac:dyDescent="0.25">
      <c r="C1983" s="71"/>
      <c r="K1983" s="71"/>
      <c r="L1983" s="71"/>
      <c r="M1983" s="67"/>
    </row>
    <row r="1984" spans="3:13" x14ac:dyDescent="0.25">
      <c r="C1984" s="71"/>
      <c r="K1984" s="71"/>
      <c r="L1984" s="71"/>
      <c r="M1984" s="67"/>
    </row>
    <row r="1985" spans="3:13" x14ac:dyDescent="0.25">
      <c r="C1985" s="71"/>
      <c r="F1985" s="78"/>
      <c r="G1985" s="78"/>
      <c r="K1985" s="71"/>
      <c r="L1985" s="71"/>
      <c r="M1985" s="67"/>
    </row>
    <row r="1986" spans="3:13" x14ac:dyDescent="0.25">
      <c r="C1986" s="71"/>
      <c r="K1986" s="71"/>
      <c r="L1986" s="71"/>
      <c r="M1986" s="67"/>
    </row>
    <row r="1987" spans="3:13" x14ac:dyDescent="0.25">
      <c r="C1987" s="71"/>
      <c r="K1987" s="71"/>
      <c r="L1987" s="71"/>
      <c r="M1987" s="67"/>
    </row>
    <row r="1988" spans="3:13" x14ac:dyDescent="0.25">
      <c r="C1988" s="71"/>
      <c r="K1988" s="71"/>
      <c r="L1988" s="71"/>
      <c r="M1988" s="67"/>
    </row>
    <row r="1989" spans="3:13" x14ac:dyDescent="0.25">
      <c r="C1989" s="71"/>
      <c r="K1989" s="71"/>
      <c r="L1989" s="71"/>
      <c r="M1989" s="67"/>
    </row>
    <row r="1990" spans="3:13" x14ac:dyDescent="0.25">
      <c r="C1990" s="71"/>
      <c r="K1990" s="71"/>
      <c r="L1990" s="71"/>
      <c r="M1990" s="67"/>
    </row>
    <row r="1991" spans="3:13" x14ac:dyDescent="0.25">
      <c r="C1991" s="71"/>
      <c r="K1991" s="71"/>
      <c r="L1991" s="71"/>
      <c r="M1991" s="67"/>
    </row>
    <row r="1992" spans="3:13" x14ac:dyDescent="0.25">
      <c r="C1992" s="71"/>
      <c r="K1992" s="71"/>
      <c r="L1992" s="71"/>
      <c r="M1992" s="67"/>
    </row>
    <row r="1993" spans="3:13" x14ac:dyDescent="0.25">
      <c r="C1993" s="71"/>
      <c r="K1993" s="71"/>
      <c r="L1993" s="71"/>
      <c r="M1993" s="67"/>
    </row>
    <row r="1994" spans="3:13" x14ac:dyDescent="0.25">
      <c r="C1994" s="71"/>
      <c r="K1994" s="71"/>
      <c r="L1994" s="71"/>
      <c r="M1994" s="67"/>
    </row>
    <row r="1995" spans="3:13" x14ac:dyDescent="0.25">
      <c r="C1995" s="71"/>
      <c r="K1995" s="71"/>
      <c r="L1995" s="71"/>
      <c r="M1995" s="67"/>
    </row>
    <row r="1996" spans="3:13" x14ac:dyDescent="0.25">
      <c r="C1996" s="71"/>
      <c r="K1996" s="71"/>
      <c r="L1996" s="71"/>
      <c r="M1996" s="67"/>
    </row>
    <row r="1997" spans="3:13" x14ac:dyDescent="0.25">
      <c r="C1997" s="71"/>
      <c r="K1997" s="71"/>
      <c r="L1997" s="71"/>
      <c r="M1997" s="67"/>
    </row>
    <row r="1998" spans="3:13" x14ac:dyDescent="0.25">
      <c r="C1998" s="71"/>
      <c r="K1998" s="71"/>
      <c r="L1998" s="71"/>
      <c r="M1998" s="67"/>
    </row>
    <row r="1999" spans="3:13" x14ac:dyDescent="0.25">
      <c r="C1999" s="71"/>
      <c r="K1999" s="71"/>
      <c r="L1999" s="71"/>
      <c r="M1999" s="67"/>
    </row>
    <row r="2000" spans="3:13" x14ac:dyDescent="0.25">
      <c r="C2000" s="71"/>
      <c r="K2000" s="71"/>
      <c r="L2000" s="71"/>
      <c r="M2000" s="67"/>
    </row>
    <row r="2001" spans="3:13" x14ac:dyDescent="0.25">
      <c r="C2001" s="71"/>
      <c r="K2001" s="71"/>
      <c r="L2001" s="71"/>
      <c r="M2001" s="67"/>
    </row>
    <row r="2002" spans="3:13" x14ac:dyDescent="0.25">
      <c r="C2002" s="71"/>
      <c r="K2002" s="71"/>
      <c r="L2002" s="71"/>
      <c r="M2002" s="67"/>
    </row>
    <row r="2003" spans="3:13" x14ac:dyDescent="0.25">
      <c r="C2003" s="71"/>
      <c r="K2003" s="71"/>
      <c r="L2003" s="71"/>
      <c r="M2003" s="67"/>
    </row>
    <row r="2004" spans="3:13" x14ac:dyDescent="0.25">
      <c r="C2004" s="71"/>
      <c r="K2004" s="71"/>
      <c r="L2004" s="71"/>
      <c r="M2004" s="67"/>
    </row>
    <row r="2005" spans="3:13" x14ac:dyDescent="0.25">
      <c r="C2005" s="71"/>
      <c r="K2005" s="71"/>
      <c r="L2005" s="71"/>
      <c r="M2005" s="67"/>
    </row>
    <row r="2006" spans="3:13" x14ac:dyDescent="0.25">
      <c r="C2006" s="71"/>
      <c r="K2006" s="71"/>
      <c r="L2006" s="71"/>
      <c r="M2006" s="67"/>
    </row>
    <row r="2007" spans="3:13" x14ac:dyDescent="0.25">
      <c r="C2007" s="71"/>
      <c r="K2007" s="71"/>
      <c r="L2007" s="71"/>
      <c r="M2007" s="67"/>
    </row>
    <row r="2008" spans="3:13" x14ac:dyDescent="0.25">
      <c r="C2008" s="71"/>
      <c r="K2008" s="71"/>
      <c r="L2008" s="71"/>
      <c r="M2008" s="67"/>
    </row>
    <row r="2009" spans="3:13" x14ac:dyDescent="0.25">
      <c r="C2009" s="71"/>
      <c r="K2009" s="71"/>
      <c r="L2009" s="71"/>
      <c r="M2009" s="67"/>
    </row>
    <row r="2010" spans="3:13" x14ac:dyDescent="0.25">
      <c r="C2010" s="71"/>
      <c r="K2010" s="71"/>
      <c r="L2010" s="71"/>
      <c r="M2010" s="67"/>
    </row>
    <row r="2011" spans="3:13" x14ac:dyDescent="0.25">
      <c r="C2011" s="71"/>
      <c r="K2011" s="71"/>
      <c r="L2011" s="71"/>
      <c r="M2011" s="67"/>
    </row>
    <row r="2012" spans="3:13" x14ac:dyDescent="0.25">
      <c r="C2012" s="71"/>
      <c r="K2012" s="71"/>
      <c r="L2012" s="71"/>
      <c r="M2012" s="67"/>
    </row>
    <row r="2013" spans="3:13" x14ac:dyDescent="0.25">
      <c r="C2013" s="71"/>
      <c r="K2013" s="71"/>
      <c r="L2013" s="71"/>
      <c r="M2013" s="67"/>
    </row>
    <row r="2014" spans="3:13" x14ac:dyDescent="0.25">
      <c r="C2014" s="71"/>
      <c r="K2014" s="71"/>
      <c r="L2014" s="71"/>
      <c r="M2014" s="67"/>
    </row>
    <row r="2015" spans="3:13" x14ac:dyDescent="0.25">
      <c r="C2015" s="71"/>
      <c r="K2015" s="71"/>
      <c r="L2015" s="71"/>
      <c r="M2015" s="67"/>
    </row>
    <row r="2016" spans="3:13" x14ac:dyDescent="0.25">
      <c r="C2016" s="71"/>
      <c r="K2016" s="71"/>
      <c r="L2016" s="71"/>
      <c r="M2016" s="67"/>
    </row>
    <row r="2017" spans="3:13" x14ac:dyDescent="0.25">
      <c r="C2017" s="71"/>
      <c r="K2017" s="71"/>
      <c r="L2017" s="71"/>
      <c r="M2017" s="67"/>
    </row>
    <row r="2018" spans="3:13" x14ac:dyDescent="0.25">
      <c r="C2018" s="71"/>
      <c r="K2018" s="71"/>
      <c r="L2018" s="71"/>
      <c r="M2018" s="67"/>
    </row>
    <row r="2019" spans="3:13" x14ac:dyDescent="0.25">
      <c r="C2019" s="71"/>
      <c r="K2019" s="71"/>
      <c r="L2019" s="71"/>
      <c r="M2019" s="67"/>
    </row>
    <row r="2020" spans="3:13" x14ac:dyDescent="0.25">
      <c r="C2020" s="71"/>
      <c r="K2020" s="71"/>
      <c r="L2020" s="71"/>
      <c r="M2020" s="67"/>
    </row>
    <row r="2021" spans="3:13" x14ac:dyDescent="0.25">
      <c r="C2021" s="71"/>
      <c r="K2021" s="71"/>
      <c r="L2021" s="71"/>
      <c r="M2021" s="67"/>
    </row>
    <row r="2022" spans="3:13" x14ac:dyDescent="0.25">
      <c r="C2022" s="71"/>
      <c r="K2022" s="71"/>
      <c r="L2022" s="71"/>
      <c r="M2022" s="67"/>
    </row>
    <row r="2023" spans="3:13" x14ac:dyDescent="0.25">
      <c r="C2023" s="71"/>
      <c r="K2023" s="71"/>
      <c r="L2023" s="71"/>
      <c r="M2023" s="67"/>
    </row>
    <row r="2024" spans="3:13" x14ac:dyDescent="0.25">
      <c r="C2024" s="71"/>
      <c r="K2024" s="71"/>
      <c r="L2024" s="71"/>
      <c r="M2024" s="67"/>
    </row>
    <row r="2025" spans="3:13" x14ac:dyDescent="0.25">
      <c r="C2025" s="71"/>
      <c r="K2025" s="71"/>
      <c r="L2025" s="71"/>
      <c r="M2025" s="67"/>
    </row>
    <row r="2026" spans="3:13" x14ac:dyDescent="0.25">
      <c r="C2026" s="71"/>
      <c r="K2026" s="71"/>
      <c r="L2026" s="71"/>
      <c r="M2026" s="67"/>
    </row>
    <row r="2027" spans="3:13" x14ac:dyDescent="0.25">
      <c r="C2027" s="71"/>
      <c r="K2027" s="71"/>
      <c r="L2027" s="71"/>
      <c r="M2027" s="67"/>
    </row>
    <row r="2028" spans="3:13" x14ac:dyDescent="0.25">
      <c r="C2028" s="71"/>
      <c r="K2028" s="71"/>
      <c r="L2028" s="71"/>
      <c r="M2028" s="67"/>
    </row>
    <row r="2029" spans="3:13" x14ac:dyDescent="0.25">
      <c r="C2029" s="71"/>
      <c r="K2029" s="71"/>
      <c r="L2029" s="71"/>
      <c r="M2029" s="67"/>
    </row>
    <row r="2030" spans="3:13" x14ac:dyDescent="0.25">
      <c r="C2030" s="71"/>
      <c r="K2030" s="71"/>
      <c r="L2030" s="71"/>
      <c r="M2030" s="67"/>
    </row>
    <row r="2031" spans="3:13" x14ac:dyDescent="0.25">
      <c r="C2031" s="71"/>
      <c r="K2031" s="71"/>
      <c r="L2031" s="71"/>
      <c r="M2031" s="67"/>
    </row>
    <row r="2032" spans="3:13" x14ac:dyDescent="0.25">
      <c r="C2032" s="71"/>
      <c r="K2032" s="71"/>
      <c r="L2032" s="71"/>
      <c r="M2032" s="67"/>
    </row>
    <row r="2033" spans="3:13" x14ac:dyDescent="0.25">
      <c r="C2033" s="71"/>
      <c r="K2033" s="71"/>
      <c r="L2033" s="71"/>
      <c r="M2033" s="67"/>
    </row>
    <row r="2034" spans="3:13" x14ac:dyDescent="0.25">
      <c r="C2034" s="71"/>
      <c r="K2034" s="71"/>
      <c r="L2034" s="71"/>
      <c r="M2034" s="67"/>
    </row>
    <row r="2035" spans="3:13" x14ac:dyDescent="0.25">
      <c r="C2035" s="71"/>
      <c r="K2035" s="71"/>
      <c r="L2035" s="71"/>
      <c r="M2035" s="67"/>
    </row>
    <row r="2036" spans="3:13" x14ac:dyDescent="0.25">
      <c r="C2036" s="71"/>
      <c r="K2036" s="71"/>
      <c r="L2036" s="71"/>
      <c r="M2036" s="67"/>
    </row>
    <row r="2037" spans="3:13" x14ac:dyDescent="0.25">
      <c r="C2037" s="71"/>
      <c r="K2037" s="71"/>
      <c r="L2037" s="71"/>
      <c r="M2037" s="67"/>
    </row>
    <row r="2038" spans="3:13" x14ac:dyDescent="0.25">
      <c r="C2038" s="71"/>
      <c r="K2038" s="71"/>
      <c r="L2038" s="71"/>
      <c r="M2038" s="67"/>
    </row>
    <row r="2039" spans="3:13" x14ac:dyDescent="0.25">
      <c r="C2039" s="71"/>
      <c r="K2039" s="71"/>
      <c r="L2039" s="71"/>
      <c r="M2039" s="67"/>
    </row>
    <row r="2040" spans="3:13" x14ac:dyDescent="0.25">
      <c r="C2040" s="71"/>
      <c r="K2040" s="71"/>
      <c r="L2040" s="71"/>
      <c r="M2040" s="67"/>
    </row>
    <row r="2041" spans="3:13" x14ac:dyDescent="0.25">
      <c r="C2041" s="71"/>
      <c r="K2041" s="71"/>
      <c r="L2041" s="71"/>
      <c r="M2041" s="67"/>
    </row>
    <row r="2042" spans="3:13" x14ac:dyDescent="0.25">
      <c r="C2042" s="71"/>
      <c r="K2042" s="71"/>
      <c r="L2042" s="71"/>
      <c r="M2042" s="67"/>
    </row>
    <row r="2043" spans="3:13" x14ac:dyDescent="0.25">
      <c r="C2043" s="71"/>
      <c r="K2043" s="71"/>
      <c r="L2043" s="71"/>
      <c r="M2043" s="67"/>
    </row>
    <row r="2044" spans="3:13" x14ac:dyDescent="0.25">
      <c r="C2044" s="71"/>
      <c r="K2044" s="71"/>
      <c r="L2044" s="71"/>
      <c r="M2044" s="67"/>
    </row>
    <row r="2045" spans="3:13" x14ac:dyDescent="0.25">
      <c r="C2045" s="71"/>
      <c r="K2045" s="71"/>
      <c r="L2045" s="71"/>
      <c r="M2045" s="67"/>
    </row>
    <row r="2046" spans="3:13" x14ac:dyDescent="0.25">
      <c r="C2046" s="71"/>
      <c r="K2046" s="71"/>
      <c r="L2046" s="71"/>
      <c r="M2046" s="67"/>
    </row>
    <row r="2047" spans="3:13" x14ac:dyDescent="0.25">
      <c r="C2047" s="71"/>
      <c r="K2047" s="71"/>
      <c r="L2047" s="71"/>
      <c r="M2047" s="67"/>
    </row>
    <row r="2048" spans="3:13" x14ac:dyDescent="0.25">
      <c r="C2048" s="71"/>
      <c r="K2048" s="71"/>
      <c r="L2048" s="71"/>
      <c r="M2048" s="67"/>
    </row>
    <row r="2049" spans="3:13" x14ac:dyDescent="0.25">
      <c r="C2049" s="71"/>
      <c r="K2049" s="71"/>
      <c r="L2049" s="71"/>
      <c r="M2049" s="67"/>
    </row>
    <row r="2050" spans="3:13" x14ac:dyDescent="0.25">
      <c r="C2050" s="71"/>
      <c r="K2050" s="71"/>
      <c r="L2050" s="71"/>
      <c r="M2050" s="67"/>
    </row>
    <row r="2051" spans="3:13" x14ac:dyDescent="0.25">
      <c r="C2051" s="71"/>
      <c r="K2051" s="71"/>
      <c r="L2051" s="71"/>
      <c r="M2051" s="67"/>
    </row>
    <row r="2052" spans="3:13" x14ac:dyDescent="0.25">
      <c r="C2052" s="71"/>
      <c r="K2052" s="71"/>
      <c r="L2052" s="71"/>
      <c r="M2052" s="67"/>
    </row>
    <row r="2053" spans="3:13" x14ac:dyDescent="0.25">
      <c r="C2053" s="71"/>
      <c r="K2053" s="71"/>
      <c r="L2053" s="71"/>
      <c r="M2053" s="67"/>
    </row>
    <row r="2054" spans="3:13" x14ac:dyDescent="0.25">
      <c r="C2054" s="71"/>
      <c r="K2054" s="71"/>
      <c r="L2054" s="71"/>
      <c r="M2054" s="67"/>
    </row>
    <row r="2055" spans="3:13" x14ac:dyDescent="0.25">
      <c r="C2055" s="71"/>
      <c r="K2055" s="71"/>
      <c r="L2055" s="71"/>
      <c r="M2055" s="67"/>
    </row>
    <row r="2056" spans="3:13" x14ac:dyDescent="0.25">
      <c r="C2056" s="71"/>
      <c r="K2056" s="71"/>
      <c r="L2056" s="71"/>
      <c r="M2056" s="67"/>
    </row>
    <row r="2057" spans="3:13" x14ac:dyDescent="0.25">
      <c r="C2057" s="71"/>
      <c r="K2057" s="71"/>
      <c r="L2057" s="71"/>
      <c r="M2057" s="67"/>
    </row>
    <row r="2058" spans="3:13" x14ac:dyDescent="0.25">
      <c r="C2058" s="71"/>
      <c r="K2058" s="71"/>
      <c r="L2058" s="71"/>
      <c r="M2058" s="67"/>
    </row>
    <row r="2059" spans="3:13" x14ac:dyDescent="0.25">
      <c r="C2059" s="71"/>
      <c r="K2059" s="71"/>
      <c r="L2059" s="71"/>
      <c r="M2059" s="67"/>
    </row>
    <row r="2060" spans="3:13" x14ac:dyDescent="0.25">
      <c r="C2060" s="71"/>
      <c r="K2060" s="71"/>
      <c r="L2060" s="71"/>
      <c r="M2060" s="67"/>
    </row>
    <row r="2061" spans="3:13" x14ac:dyDescent="0.25">
      <c r="C2061" s="71"/>
      <c r="K2061" s="71"/>
      <c r="L2061" s="71"/>
      <c r="M2061" s="67"/>
    </row>
    <row r="2062" spans="3:13" x14ac:dyDescent="0.25">
      <c r="C2062" s="71"/>
      <c r="K2062" s="71"/>
      <c r="L2062" s="71"/>
      <c r="M2062" s="67"/>
    </row>
    <row r="2063" spans="3:13" x14ac:dyDescent="0.25">
      <c r="C2063" s="71"/>
      <c r="K2063" s="71"/>
      <c r="L2063" s="71"/>
      <c r="M2063" s="67"/>
    </row>
    <row r="2064" spans="3:13" x14ac:dyDescent="0.25">
      <c r="C2064" s="71"/>
      <c r="K2064" s="71"/>
      <c r="L2064" s="71"/>
      <c r="M2064" s="67"/>
    </row>
    <row r="2065" spans="3:13" x14ac:dyDescent="0.25">
      <c r="C2065" s="71"/>
      <c r="K2065" s="71"/>
      <c r="L2065" s="71"/>
      <c r="M2065" s="67"/>
    </row>
    <row r="2066" spans="3:13" x14ac:dyDescent="0.25">
      <c r="C2066" s="71"/>
      <c r="K2066" s="71"/>
      <c r="L2066" s="71"/>
      <c r="M2066" s="67"/>
    </row>
    <row r="2067" spans="3:13" x14ac:dyDescent="0.25">
      <c r="C2067" s="71"/>
      <c r="K2067" s="71"/>
      <c r="L2067" s="71"/>
      <c r="M2067" s="67"/>
    </row>
    <row r="2068" spans="3:13" x14ac:dyDescent="0.25">
      <c r="C2068" s="71"/>
      <c r="K2068" s="71"/>
      <c r="L2068" s="71"/>
      <c r="M2068" s="67"/>
    </row>
    <row r="2069" spans="3:13" x14ac:dyDescent="0.25">
      <c r="C2069" s="71"/>
      <c r="K2069" s="71"/>
      <c r="L2069" s="71"/>
      <c r="M2069" s="67"/>
    </row>
    <row r="2070" spans="3:13" x14ac:dyDescent="0.25">
      <c r="C2070" s="71"/>
      <c r="K2070" s="71"/>
      <c r="L2070" s="71"/>
      <c r="M2070" s="67"/>
    </row>
    <row r="2071" spans="3:13" x14ac:dyDescent="0.25">
      <c r="C2071" s="71"/>
      <c r="K2071" s="71"/>
      <c r="L2071" s="71"/>
      <c r="M2071" s="67"/>
    </row>
    <row r="2072" spans="3:13" x14ac:dyDescent="0.25">
      <c r="C2072" s="71"/>
      <c r="K2072" s="71"/>
      <c r="L2072" s="71"/>
      <c r="M2072" s="67"/>
    </row>
    <row r="2073" spans="3:13" x14ac:dyDescent="0.25">
      <c r="C2073" s="71"/>
      <c r="K2073" s="71"/>
      <c r="L2073" s="71"/>
      <c r="M2073" s="67"/>
    </row>
    <row r="2074" spans="3:13" x14ac:dyDescent="0.25">
      <c r="C2074" s="71"/>
      <c r="K2074" s="71"/>
      <c r="L2074" s="71"/>
      <c r="M2074" s="67"/>
    </row>
    <row r="2075" spans="3:13" x14ac:dyDescent="0.25">
      <c r="C2075" s="71"/>
      <c r="K2075" s="71"/>
      <c r="L2075" s="71"/>
      <c r="M2075" s="67"/>
    </row>
    <row r="2076" spans="3:13" x14ac:dyDescent="0.25">
      <c r="C2076" s="71"/>
      <c r="K2076" s="71"/>
      <c r="L2076" s="71"/>
      <c r="M2076" s="67"/>
    </row>
    <row r="2077" spans="3:13" x14ac:dyDescent="0.25">
      <c r="C2077" s="71"/>
      <c r="K2077" s="71"/>
      <c r="L2077" s="71"/>
      <c r="M2077" s="67"/>
    </row>
    <row r="2078" spans="3:13" x14ac:dyDescent="0.25">
      <c r="C2078" s="71"/>
      <c r="K2078" s="71"/>
      <c r="L2078" s="71"/>
      <c r="M2078" s="67"/>
    </row>
    <row r="2079" spans="3:13" x14ac:dyDescent="0.25">
      <c r="C2079" s="71"/>
      <c r="K2079" s="71"/>
      <c r="L2079" s="71"/>
      <c r="M2079" s="67"/>
    </row>
    <row r="2080" spans="3:13" x14ac:dyDescent="0.25">
      <c r="C2080" s="71"/>
      <c r="K2080" s="71"/>
      <c r="L2080" s="71"/>
      <c r="M2080" s="67"/>
    </row>
    <row r="2081" spans="3:13" x14ac:dyDescent="0.25">
      <c r="C2081" s="71"/>
      <c r="K2081" s="71"/>
      <c r="L2081" s="71"/>
      <c r="M2081" s="67"/>
    </row>
    <row r="2082" spans="3:13" x14ac:dyDescent="0.25">
      <c r="C2082" s="71"/>
      <c r="K2082" s="71"/>
      <c r="L2082" s="71"/>
      <c r="M2082" s="67"/>
    </row>
    <row r="2083" spans="3:13" x14ac:dyDescent="0.25">
      <c r="C2083" s="71"/>
      <c r="K2083" s="71"/>
      <c r="L2083" s="71"/>
      <c r="M2083" s="67"/>
    </row>
    <row r="2084" spans="3:13" x14ac:dyDescent="0.25">
      <c r="C2084" s="71"/>
      <c r="K2084" s="71"/>
      <c r="L2084" s="71"/>
      <c r="M2084" s="67"/>
    </row>
    <row r="2085" spans="3:13" x14ac:dyDescent="0.25">
      <c r="C2085" s="71"/>
      <c r="K2085" s="71"/>
      <c r="L2085" s="71"/>
      <c r="M2085" s="67"/>
    </row>
    <row r="2086" spans="3:13" x14ac:dyDescent="0.25">
      <c r="C2086" s="71"/>
      <c r="K2086" s="71"/>
      <c r="L2086" s="71"/>
      <c r="M2086" s="67"/>
    </row>
    <row r="2087" spans="3:13" x14ac:dyDescent="0.25">
      <c r="C2087" s="71"/>
      <c r="K2087" s="71"/>
      <c r="L2087" s="71"/>
      <c r="M2087" s="67"/>
    </row>
    <row r="2088" spans="3:13" x14ac:dyDescent="0.25">
      <c r="C2088" s="71"/>
      <c r="K2088" s="71"/>
      <c r="L2088" s="71"/>
      <c r="M2088" s="67"/>
    </row>
    <row r="2089" spans="3:13" x14ac:dyDescent="0.25">
      <c r="C2089" s="71"/>
      <c r="K2089" s="71"/>
      <c r="L2089" s="71"/>
      <c r="M2089" s="67"/>
    </row>
    <row r="2090" spans="3:13" x14ac:dyDescent="0.25">
      <c r="C2090" s="71"/>
      <c r="K2090" s="71"/>
      <c r="L2090" s="71"/>
      <c r="M2090" s="67"/>
    </row>
    <row r="2091" spans="3:13" x14ac:dyDescent="0.25">
      <c r="C2091" s="71"/>
      <c r="K2091" s="71"/>
      <c r="L2091" s="71"/>
      <c r="M2091" s="67"/>
    </row>
    <row r="2092" spans="3:13" x14ac:dyDescent="0.25">
      <c r="C2092" s="71"/>
      <c r="K2092" s="71"/>
      <c r="L2092" s="71"/>
      <c r="M2092" s="67"/>
    </row>
    <row r="2093" spans="3:13" x14ac:dyDescent="0.25">
      <c r="C2093" s="71"/>
      <c r="K2093" s="71"/>
      <c r="L2093" s="71"/>
      <c r="M2093" s="67"/>
    </row>
    <row r="2094" spans="3:13" x14ac:dyDescent="0.25">
      <c r="C2094" s="71"/>
      <c r="K2094" s="71"/>
      <c r="L2094" s="71"/>
      <c r="M2094" s="67"/>
    </row>
    <row r="2095" spans="3:13" x14ac:dyDescent="0.25">
      <c r="C2095" s="71"/>
      <c r="K2095" s="71"/>
      <c r="L2095" s="71"/>
      <c r="M2095" s="67"/>
    </row>
    <row r="2096" spans="3:13" x14ac:dyDescent="0.25">
      <c r="C2096" s="71"/>
      <c r="K2096" s="71"/>
      <c r="L2096" s="71"/>
      <c r="M2096" s="67"/>
    </row>
    <row r="2097" spans="3:13" x14ac:dyDescent="0.25">
      <c r="C2097" s="71"/>
      <c r="K2097" s="71"/>
      <c r="L2097" s="71"/>
      <c r="M2097" s="67"/>
    </row>
    <row r="2098" spans="3:13" x14ac:dyDescent="0.25">
      <c r="C2098" s="71"/>
      <c r="K2098" s="71"/>
      <c r="L2098" s="71"/>
      <c r="M2098" s="67"/>
    </row>
    <row r="2099" spans="3:13" x14ac:dyDescent="0.25">
      <c r="C2099" s="71"/>
      <c r="K2099" s="71"/>
      <c r="L2099" s="71"/>
      <c r="M2099" s="67"/>
    </row>
    <row r="2100" spans="3:13" x14ac:dyDescent="0.25">
      <c r="C2100" s="71"/>
      <c r="K2100" s="71"/>
      <c r="L2100" s="71"/>
      <c r="M2100" s="67"/>
    </row>
    <row r="2101" spans="3:13" x14ac:dyDescent="0.25">
      <c r="C2101" s="71"/>
      <c r="K2101" s="71"/>
      <c r="L2101" s="71"/>
      <c r="M2101" s="67"/>
    </row>
    <row r="2102" spans="3:13" x14ac:dyDescent="0.25">
      <c r="C2102" s="71"/>
      <c r="K2102" s="71"/>
      <c r="L2102" s="71"/>
      <c r="M2102" s="67"/>
    </row>
    <row r="2103" spans="3:13" x14ac:dyDescent="0.25">
      <c r="C2103" s="71"/>
      <c r="K2103" s="71"/>
      <c r="L2103" s="71"/>
      <c r="M2103" s="67"/>
    </row>
    <row r="2104" spans="3:13" x14ac:dyDescent="0.25">
      <c r="C2104" s="71"/>
      <c r="K2104" s="71"/>
      <c r="L2104" s="71"/>
      <c r="M2104" s="67"/>
    </row>
    <row r="2105" spans="3:13" x14ac:dyDescent="0.25">
      <c r="C2105" s="71"/>
      <c r="K2105" s="71"/>
      <c r="L2105" s="71"/>
      <c r="M2105" s="67"/>
    </row>
    <row r="2106" spans="3:13" x14ac:dyDescent="0.25">
      <c r="C2106" s="71"/>
      <c r="K2106" s="71"/>
      <c r="L2106" s="71"/>
      <c r="M2106" s="67"/>
    </row>
    <row r="2107" spans="3:13" x14ac:dyDescent="0.25">
      <c r="C2107" s="71"/>
      <c r="K2107" s="71"/>
      <c r="L2107" s="71"/>
      <c r="M2107" s="67"/>
    </row>
    <row r="2108" spans="3:13" x14ac:dyDescent="0.25">
      <c r="C2108" s="71"/>
      <c r="K2108" s="71"/>
      <c r="L2108" s="71"/>
      <c r="M2108" s="67"/>
    </row>
    <row r="2109" spans="3:13" x14ac:dyDescent="0.25">
      <c r="C2109" s="71"/>
      <c r="K2109" s="71"/>
      <c r="L2109" s="71"/>
      <c r="M2109" s="67"/>
    </row>
    <row r="2110" spans="3:13" x14ac:dyDescent="0.25">
      <c r="C2110" s="71"/>
      <c r="K2110" s="71"/>
      <c r="L2110" s="71"/>
      <c r="M2110" s="67"/>
    </row>
    <row r="2111" spans="3:13" x14ac:dyDescent="0.25">
      <c r="C2111" s="71"/>
      <c r="K2111" s="71"/>
      <c r="L2111" s="71"/>
      <c r="M2111" s="67"/>
    </row>
    <row r="2112" spans="3:13" x14ac:dyDescent="0.25">
      <c r="C2112" s="71"/>
      <c r="K2112" s="71"/>
      <c r="L2112" s="71"/>
      <c r="M2112" s="67"/>
    </row>
    <row r="2113" spans="3:13" x14ac:dyDescent="0.25">
      <c r="C2113" s="71"/>
      <c r="K2113" s="71"/>
      <c r="L2113" s="71"/>
      <c r="M2113" s="67"/>
    </row>
    <row r="2114" spans="3:13" x14ac:dyDescent="0.25">
      <c r="C2114" s="71"/>
      <c r="K2114" s="71"/>
      <c r="L2114" s="71"/>
      <c r="M2114" s="67"/>
    </row>
    <row r="2115" spans="3:13" x14ac:dyDescent="0.25">
      <c r="C2115" s="71"/>
      <c r="K2115" s="71"/>
      <c r="L2115" s="71"/>
      <c r="M2115" s="67"/>
    </row>
    <row r="2116" spans="3:13" x14ac:dyDescent="0.25">
      <c r="C2116" s="71"/>
      <c r="K2116" s="71"/>
      <c r="L2116" s="71"/>
      <c r="M2116" s="67"/>
    </row>
    <row r="2117" spans="3:13" x14ac:dyDescent="0.25">
      <c r="C2117" s="71"/>
      <c r="K2117" s="71"/>
      <c r="L2117" s="71"/>
      <c r="M2117" s="67"/>
    </row>
    <row r="2118" spans="3:13" x14ac:dyDescent="0.25">
      <c r="C2118" s="71"/>
      <c r="K2118" s="71"/>
      <c r="L2118" s="71"/>
      <c r="M2118" s="67"/>
    </row>
    <row r="2119" spans="3:13" x14ac:dyDescent="0.25">
      <c r="C2119" s="71"/>
      <c r="K2119" s="71"/>
      <c r="L2119" s="71"/>
      <c r="M2119" s="67"/>
    </row>
    <row r="2120" spans="3:13" x14ac:dyDescent="0.25">
      <c r="C2120" s="71"/>
      <c r="K2120" s="71"/>
      <c r="L2120" s="71"/>
      <c r="M2120" s="67"/>
    </row>
    <row r="2121" spans="3:13" x14ac:dyDescent="0.25">
      <c r="C2121" s="71"/>
      <c r="K2121" s="71"/>
      <c r="L2121" s="71"/>
      <c r="M2121" s="67"/>
    </row>
    <row r="2122" spans="3:13" x14ac:dyDescent="0.25">
      <c r="C2122" s="71"/>
      <c r="K2122" s="71"/>
      <c r="L2122" s="71"/>
      <c r="M2122" s="67"/>
    </row>
    <row r="2123" spans="3:13" x14ac:dyDescent="0.25">
      <c r="C2123" s="71"/>
      <c r="K2123" s="71"/>
      <c r="L2123" s="71"/>
      <c r="M2123" s="67"/>
    </row>
    <row r="2124" spans="3:13" x14ac:dyDescent="0.25">
      <c r="C2124" s="71"/>
      <c r="K2124" s="71"/>
      <c r="L2124" s="71"/>
      <c r="M2124" s="67"/>
    </row>
    <row r="2125" spans="3:13" x14ac:dyDescent="0.25">
      <c r="C2125" s="71"/>
      <c r="K2125" s="71"/>
      <c r="L2125" s="71"/>
      <c r="M2125" s="67"/>
    </row>
    <row r="2126" spans="3:13" x14ac:dyDescent="0.25">
      <c r="C2126" s="71"/>
      <c r="K2126" s="71"/>
      <c r="L2126" s="71"/>
      <c r="M2126" s="67"/>
    </row>
    <row r="2127" spans="3:13" x14ac:dyDescent="0.25">
      <c r="C2127" s="71"/>
      <c r="K2127" s="71"/>
      <c r="L2127" s="71"/>
      <c r="M2127" s="67"/>
    </row>
    <row r="2128" spans="3:13" x14ac:dyDescent="0.25">
      <c r="C2128" s="71"/>
      <c r="K2128" s="71"/>
      <c r="L2128" s="71"/>
      <c r="M2128" s="67"/>
    </row>
    <row r="2129" spans="3:13" x14ac:dyDescent="0.25">
      <c r="C2129" s="71"/>
      <c r="K2129" s="71"/>
      <c r="L2129" s="71"/>
      <c r="M2129" s="67"/>
    </row>
    <row r="2130" spans="3:13" x14ac:dyDescent="0.25">
      <c r="C2130" s="71"/>
      <c r="K2130" s="71"/>
      <c r="L2130" s="71"/>
      <c r="M2130" s="67"/>
    </row>
    <row r="2131" spans="3:13" x14ac:dyDescent="0.25">
      <c r="C2131" s="71"/>
      <c r="K2131" s="71"/>
      <c r="L2131" s="71"/>
      <c r="M2131" s="67"/>
    </row>
    <row r="2132" spans="3:13" x14ac:dyDescent="0.25">
      <c r="C2132" s="71"/>
      <c r="K2132" s="71"/>
      <c r="L2132" s="71"/>
      <c r="M2132" s="67"/>
    </row>
    <row r="2133" spans="3:13" x14ac:dyDescent="0.25">
      <c r="C2133" s="71"/>
      <c r="K2133" s="71"/>
      <c r="L2133" s="71"/>
      <c r="M2133" s="67"/>
    </row>
    <row r="2134" spans="3:13" x14ac:dyDescent="0.25">
      <c r="C2134" s="71"/>
      <c r="K2134" s="71"/>
      <c r="L2134" s="71"/>
      <c r="M2134" s="67"/>
    </row>
    <row r="2135" spans="3:13" x14ac:dyDescent="0.25">
      <c r="C2135" s="71"/>
      <c r="K2135" s="71"/>
      <c r="L2135" s="71"/>
      <c r="M2135" s="67"/>
    </row>
    <row r="2136" spans="3:13" x14ac:dyDescent="0.25">
      <c r="C2136" s="71"/>
      <c r="K2136" s="71"/>
      <c r="L2136" s="71"/>
      <c r="M2136" s="67"/>
    </row>
    <row r="2137" spans="3:13" x14ac:dyDescent="0.25">
      <c r="C2137" s="71"/>
      <c r="K2137" s="71"/>
      <c r="L2137" s="71"/>
      <c r="M2137" s="67"/>
    </row>
    <row r="2138" spans="3:13" x14ac:dyDescent="0.25">
      <c r="C2138" s="71"/>
      <c r="K2138" s="71"/>
      <c r="L2138" s="71"/>
      <c r="M2138" s="67"/>
    </row>
    <row r="2139" spans="3:13" x14ac:dyDescent="0.25">
      <c r="C2139" s="71"/>
      <c r="K2139" s="71"/>
      <c r="L2139" s="71"/>
      <c r="M2139" s="67"/>
    </row>
    <row r="2140" spans="3:13" x14ac:dyDescent="0.25">
      <c r="C2140" s="71"/>
      <c r="K2140" s="71"/>
      <c r="L2140" s="71"/>
      <c r="M2140" s="67"/>
    </row>
    <row r="2141" spans="3:13" x14ac:dyDescent="0.25">
      <c r="C2141" s="71"/>
      <c r="K2141" s="71"/>
      <c r="L2141" s="71"/>
      <c r="M2141" s="67"/>
    </row>
    <row r="2142" spans="3:13" x14ac:dyDescent="0.25">
      <c r="C2142" s="71"/>
      <c r="K2142" s="71"/>
      <c r="L2142" s="71"/>
      <c r="M2142" s="67"/>
    </row>
    <row r="2143" spans="3:13" x14ac:dyDescent="0.25">
      <c r="C2143" s="71"/>
      <c r="K2143" s="71"/>
      <c r="L2143" s="71"/>
      <c r="M2143" s="67"/>
    </row>
    <row r="2144" spans="3:13" x14ac:dyDescent="0.25">
      <c r="C2144" s="71"/>
      <c r="K2144" s="71"/>
      <c r="L2144" s="71"/>
      <c r="M2144" s="67"/>
    </row>
    <row r="2145" spans="3:13" x14ac:dyDescent="0.25">
      <c r="C2145" s="71"/>
      <c r="K2145" s="71"/>
      <c r="L2145" s="71"/>
      <c r="M2145" s="67"/>
    </row>
    <row r="2146" spans="3:13" x14ac:dyDescent="0.25">
      <c r="C2146" s="71"/>
      <c r="K2146" s="71"/>
      <c r="L2146" s="71"/>
      <c r="M2146" s="67"/>
    </row>
    <row r="2147" spans="3:13" x14ac:dyDescent="0.25">
      <c r="C2147" s="71"/>
      <c r="K2147" s="71"/>
      <c r="L2147" s="71"/>
      <c r="M2147" s="67"/>
    </row>
    <row r="2148" spans="3:13" x14ac:dyDescent="0.25">
      <c r="C2148" s="71"/>
      <c r="K2148" s="71"/>
      <c r="L2148" s="71"/>
      <c r="M2148" s="67"/>
    </row>
    <row r="2149" spans="3:13" x14ac:dyDescent="0.25">
      <c r="C2149" s="71"/>
      <c r="K2149" s="71"/>
      <c r="L2149" s="71"/>
      <c r="M2149" s="67"/>
    </row>
    <row r="2150" spans="3:13" x14ac:dyDescent="0.25">
      <c r="C2150" s="71"/>
      <c r="K2150" s="71"/>
      <c r="L2150" s="71"/>
      <c r="M2150" s="67"/>
    </row>
    <row r="2151" spans="3:13" x14ac:dyDescent="0.25">
      <c r="C2151" s="71"/>
      <c r="K2151" s="71"/>
      <c r="L2151" s="71"/>
      <c r="M2151" s="67"/>
    </row>
    <row r="2152" spans="3:13" x14ac:dyDescent="0.25">
      <c r="C2152" s="71"/>
      <c r="K2152" s="71"/>
      <c r="L2152" s="71"/>
      <c r="M2152" s="67"/>
    </row>
    <row r="2153" spans="3:13" x14ac:dyDescent="0.25">
      <c r="C2153" s="71"/>
      <c r="K2153" s="71"/>
      <c r="L2153" s="71"/>
      <c r="M2153" s="67"/>
    </row>
    <row r="2154" spans="3:13" x14ac:dyDescent="0.25">
      <c r="C2154" s="71"/>
      <c r="K2154" s="71"/>
      <c r="L2154" s="71"/>
      <c r="M2154" s="67"/>
    </row>
    <row r="2155" spans="3:13" x14ac:dyDescent="0.25">
      <c r="C2155" s="71"/>
      <c r="K2155" s="71"/>
      <c r="L2155" s="71"/>
      <c r="M2155" s="67"/>
    </row>
    <row r="2156" spans="3:13" x14ac:dyDescent="0.25">
      <c r="C2156" s="71"/>
      <c r="K2156" s="71"/>
      <c r="L2156" s="71"/>
      <c r="M2156" s="67"/>
    </row>
    <row r="2157" spans="3:13" x14ac:dyDescent="0.25">
      <c r="C2157" s="71"/>
      <c r="K2157" s="71"/>
      <c r="L2157" s="71"/>
      <c r="M2157" s="67"/>
    </row>
    <row r="2158" spans="3:13" x14ac:dyDescent="0.25">
      <c r="C2158" s="71"/>
      <c r="K2158" s="71"/>
      <c r="L2158" s="71"/>
      <c r="M2158" s="67"/>
    </row>
    <row r="2159" spans="3:13" x14ac:dyDescent="0.25">
      <c r="C2159" s="71"/>
      <c r="K2159" s="71"/>
      <c r="L2159" s="71"/>
      <c r="M2159" s="67"/>
    </row>
    <row r="2160" spans="3:13" x14ac:dyDescent="0.25">
      <c r="C2160" s="71"/>
      <c r="K2160" s="71"/>
      <c r="L2160" s="71"/>
      <c r="M2160" s="67"/>
    </row>
    <row r="2161" spans="3:13" x14ac:dyDescent="0.25">
      <c r="C2161" s="71"/>
      <c r="K2161" s="71"/>
      <c r="L2161" s="71"/>
      <c r="M2161" s="67"/>
    </row>
    <row r="2162" spans="3:13" x14ac:dyDescent="0.25">
      <c r="C2162" s="71"/>
      <c r="K2162" s="71"/>
      <c r="L2162" s="71"/>
      <c r="M2162" s="67"/>
    </row>
    <row r="2163" spans="3:13" x14ac:dyDescent="0.25">
      <c r="C2163" s="71"/>
      <c r="K2163" s="71"/>
      <c r="L2163" s="71"/>
      <c r="M2163" s="67"/>
    </row>
    <row r="2164" spans="3:13" x14ac:dyDescent="0.25">
      <c r="C2164" s="71"/>
      <c r="K2164" s="71"/>
      <c r="L2164" s="71"/>
      <c r="M2164" s="67"/>
    </row>
    <row r="2165" spans="3:13" x14ac:dyDescent="0.25">
      <c r="C2165" s="71"/>
      <c r="K2165" s="71"/>
      <c r="L2165" s="71"/>
      <c r="M2165" s="67"/>
    </row>
    <row r="2166" spans="3:13" x14ac:dyDescent="0.25">
      <c r="C2166" s="71"/>
      <c r="K2166" s="71"/>
      <c r="L2166" s="71"/>
      <c r="M2166" s="67"/>
    </row>
    <row r="2167" spans="3:13" x14ac:dyDescent="0.25">
      <c r="C2167" s="71"/>
      <c r="K2167" s="71"/>
      <c r="L2167" s="71"/>
      <c r="M2167" s="67"/>
    </row>
    <row r="2168" spans="3:13" x14ac:dyDescent="0.25">
      <c r="C2168" s="71"/>
      <c r="K2168" s="71"/>
      <c r="L2168" s="71"/>
      <c r="M2168" s="67"/>
    </row>
    <row r="2169" spans="3:13" x14ac:dyDescent="0.25">
      <c r="C2169" s="71"/>
      <c r="K2169" s="71"/>
      <c r="L2169" s="71"/>
      <c r="M2169" s="67"/>
    </row>
    <row r="2170" spans="3:13" x14ac:dyDescent="0.25">
      <c r="C2170" s="71"/>
      <c r="K2170" s="71"/>
      <c r="L2170" s="71"/>
      <c r="M2170" s="67"/>
    </row>
    <row r="2171" spans="3:13" x14ac:dyDescent="0.25">
      <c r="C2171" s="71"/>
      <c r="K2171" s="71"/>
      <c r="L2171" s="71"/>
      <c r="M2171" s="67"/>
    </row>
    <row r="2172" spans="3:13" x14ac:dyDescent="0.25">
      <c r="C2172" s="71"/>
      <c r="K2172" s="71"/>
      <c r="L2172" s="71"/>
      <c r="M2172" s="67"/>
    </row>
    <row r="2173" spans="3:13" x14ac:dyDescent="0.25">
      <c r="C2173" s="71"/>
      <c r="K2173" s="71"/>
      <c r="L2173" s="71"/>
      <c r="M2173" s="67"/>
    </row>
    <row r="2174" spans="3:13" x14ac:dyDescent="0.25">
      <c r="C2174" s="71"/>
      <c r="K2174" s="71"/>
      <c r="L2174" s="71"/>
      <c r="M2174" s="67"/>
    </row>
    <row r="2175" spans="3:13" x14ac:dyDescent="0.25">
      <c r="C2175" s="71"/>
      <c r="K2175" s="71"/>
      <c r="L2175" s="71"/>
      <c r="M2175" s="67"/>
    </row>
    <row r="2176" spans="3:13" x14ac:dyDescent="0.25">
      <c r="C2176" s="71"/>
      <c r="K2176" s="71"/>
      <c r="L2176" s="71"/>
      <c r="M2176" s="67"/>
    </row>
    <row r="2177" spans="3:13" x14ac:dyDescent="0.25">
      <c r="C2177" s="71"/>
      <c r="K2177" s="71"/>
      <c r="L2177" s="71"/>
      <c r="M2177" s="67"/>
    </row>
    <row r="2178" spans="3:13" x14ac:dyDescent="0.25">
      <c r="C2178" s="71"/>
      <c r="K2178" s="71"/>
      <c r="L2178" s="71"/>
      <c r="M2178" s="67"/>
    </row>
    <row r="2179" spans="3:13" x14ac:dyDescent="0.25">
      <c r="C2179" s="71"/>
      <c r="K2179" s="71"/>
      <c r="L2179" s="71"/>
      <c r="M2179" s="67"/>
    </row>
    <row r="2180" spans="3:13" x14ac:dyDescent="0.25">
      <c r="C2180" s="71"/>
      <c r="K2180" s="71"/>
      <c r="L2180" s="71"/>
      <c r="M2180" s="67"/>
    </row>
    <row r="2181" spans="3:13" x14ac:dyDescent="0.25">
      <c r="C2181" s="71"/>
      <c r="K2181" s="71"/>
      <c r="L2181" s="71"/>
      <c r="M2181" s="67"/>
    </row>
    <row r="2182" spans="3:13" x14ac:dyDescent="0.25">
      <c r="C2182" s="71"/>
      <c r="K2182" s="71"/>
      <c r="L2182" s="71"/>
      <c r="M2182" s="67"/>
    </row>
    <row r="2183" spans="3:13" x14ac:dyDescent="0.25">
      <c r="C2183" s="71"/>
      <c r="K2183" s="71"/>
      <c r="L2183" s="71"/>
      <c r="M2183" s="67"/>
    </row>
    <row r="2184" spans="3:13" x14ac:dyDescent="0.25">
      <c r="C2184" s="71"/>
      <c r="K2184" s="71"/>
      <c r="L2184" s="71"/>
      <c r="M2184" s="67"/>
    </row>
    <row r="2185" spans="3:13" x14ac:dyDescent="0.25">
      <c r="C2185" s="71"/>
      <c r="K2185" s="71"/>
      <c r="L2185" s="71"/>
      <c r="M2185" s="67"/>
    </row>
    <row r="2186" spans="3:13" x14ac:dyDescent="0.25">
      <c r="C2186" s="71"/>
      <c r="K2186" s="71"/>
      <c r="L2186" s="71"/>
      <c r="M2186" s="67"/>
    </row>
    <row r="2187" spans="3:13" x14ac:dyDescent="0.25">
      <c r="C2187" s="71"/>
      <c r="K2187" s="71"/>
      <c r="L2187" s="71"/>
      <c r="M2187" s="67"/>
    </row>
    <row r="2188" spans="3:13" x14ac:dyDescent="0.25">
      <c r="C2188" s="71"/>
      <c r="K2188" s="71"/>
      <c r="L2188" s="71"/>
      <c r="M2188" s="67"/>
    </row>
    <row r="2189" spans="3:13" x14ac:dyDescent="0.25">
      <c r="C2189" s="71"/>
      <c r="K2189" s="71"/>
      <c r="L2189" s="71"/>
      <c r="M2189" s="67"/>
    </row>
    <row r="2190" spans="3:13" x14ac:dyDescent="0.25">
      <c r="C2190" s="71"/>
      <c r="K2190" s="71"/>
      <c r="L2190" s="71"/>
      <c r="M2190" s="67"/>
    </row>
    <row r="2191" spans="3:13" x14ac:dyDescent="0.25">
      <c r="C2191" s="71"/>
      <c r="K2191" s="71"/>
      <c r="L2191" s="71"/>
      <c r="M2191" s="67"/>
    </row>
    <row r="2192" spans="3:13" x14ac:dyDescent="0.25">
      <c r="C2192" s="71"/>
      <c r="K2192" s="71"/>
      <c r="L2192" s="71"/>
      <c r="M2192" s="67"/>
    </row>
    <row r="2193" spans="3:13" x14ac:dyDescent="0.25">
      <c r="C2193" s="71"/>
      <c r="K2193" s="71"/>
      <c r="L2193" s="71"/>
      <c r="M2193" s="67"/>
    </row>
    <row r="2194" spans="3:13" x14ac:dyDescent="0.25">
      <c r="C2194" s="71"/>
      <c r="K2194" s="71"/>
      <c r="L2194" s="71"/>
      <c r="M2194" s="67"/>
    </row>
    <row r="2195" spans="3:13" x14ac:dyDescent="0.25">
      <c r="C2195" s="71"/>
      <c r="K2195" s="71"/>
      <c r="L2195" s="71"/>
      <c r="M2195" s="67"/>
    </row>
    <row r="2196" spans="3:13" x14ac:dyDescent="0.25">
      <c r="C2196" s="71"/>
      <c r="K2196" s="71"/>
      <c r="L2196" s="71"/>
      <c r="M2196" s="67"/>
    </row>
    <row r="2197" spans="3:13" x14ac:dyDescent="0.25">
      <c r="C2197" s="71"/>
      <c r="K2197" s="71"/>
      <c r="L2197" s="71"/>
      <c r="M2197" s="67"/>
    </row>
    <row r="2198" spans="3:13" x14ac:dyDescent="0.25">
      <c r="C2198" s="71"/>
      <c r="K2198" s="71"/>
      <c r="L2198" s="71"/>
      <c r="M2198" s="67"/>
    </row>
    <row r="2199" spans="3:13" x14ac:dyDescent="0.25">
      <c r="C2199" s="71"/>
      <c r="K2199" s="71"/>
      <c r="L2199" s="71"/>
      <c r="M2199" s="67"/>
    </row>
    <row r="2200" spans="3:13" x14ac:dyDescent="0.25">
      <c r="C2200" s="71"/>
      <c r="K2200" s="71"/>
      <c r="L2200" s="71"/>
      <c r="M2200" s="67"/>
    </row>
    <row r="2201" spans="3:13" x14ac:dyDescent="0.25">
      <c r="C2201" s="71"/>
      <c r="K2201" s="71"/>
      <c r="L2201" s="71"/>
      <c r="M2201" s="67"/>
    </row>
    <row r="2202" spans="3:13" x14ac:dyDescent="0.25">
      <c r="C2202" s="71"/>
      <c r="K2202" s="71"/>
      <c r="L2202" s="71"/>
      <c r="M2202" s="67"/>
    </row>
    <row r="2203" spans="3:13" x14ac:dyDescent="0.25">
      <c r="C2203" s="71"/>
      <c r="K2203" s="71"/>
      <c r="L2203" s="71"/>
      <c r="M2203" s="67"/>
    </row>
    <row r="2204" spans="3:13" x14ac:dyDescent="0.25">
      <c r="C2204" s="71"/>
      <c r="K2204" s="71"/>
      <c r="L2204" s="71"/>
      <c r="M2204" s="67"/>
    </row>
    <row r="2205" spans="3:13" x14ac:dyDescent="0.25">
      <c r="C2205" s="71"/>
      <c r="K2205" s="71"/>
      <c r="L2205" s="71"/>
      <c r="M2205" s="67"/>
    </row>
    <row r="2206" spans="3:13" x14ac:dyDescent="0.25">
      <c r="C2206" s="71"/>
      <c r="K2206" s="71"/>
      <c r="L2206" s="71"/>
      <c r="M2206" s="67"/>
    </row>
    <row r="2207" spans="3:13" x14ac:dyDescent="0.25">
      <c r="C2207" s="71"/>
      <c r="K2207" s="71"/>
      <c r="L2207" s="71"/>
      <c r="M2207" s="67"/>
    </row>
    <row r="2208" spans="3:13" x14ac:dyDescent="0.25">
      <c r="C2208" s="71"/>
      <c r="K2208" s="71"/>
      <c r="L2208" s="71"/>
      <c r="M2208" s="67"/>
    </row>
    <row r="2209" spans="3:13" x14ac:dyDescent="0.25">
      <c r="C2209" s="71"/>
      <c r="K2209" s="71"/>
      <c r="L2209" s="71"/>
      <c r="M2209" s="67"/>
    </row>
    <row r="2210" spans="3:13" x14ac:dyDescent="0.25">
      <c r="C2210" s="71"/>
      <c r="K2210" s="71"/>
      <c r="L2210" s="71"/>
      <c r="M2210" s="67"/>
    </row>
    <row r="2211" spans="3:13" x14ac:dyDescent="0.25">
      <c r="C2211" s="71"/>
      <c r="K2211" s="71"/>
      <c r="L2211" s="71"/>
      <c r="M2211" s="67"/>
    </row>
    <row r="2212" spans="3:13" x14ac:dyDescent="0.25">
      <c r="C2212" s="71"/>
      <c r="K2212" s="71"/>
      <c r="L2212" s="71"/>
      <c r="M2212" s="67"/>
    </row>
    <row r="2213" spans="3:13" x14ac:dyDescent="0.25">
      <c r="C2213" s="71"/>
      <c r="K2213" s="71"/>
      <c r="L2213" s="71"/>
      <c r="M2213" s="67"/>
    </row>
    <row r="2214" spans="3:13" x14ac:dyDescent="0.25">
      <c r="C2214" s="71"/>
      <c r="K2214" s="71"/>
      <c r="L2214" s="71"/>
      <c r="M2214" s="67"/>
    </row>
    <row r="2215" spans="3:13" x14ac:dyDescent="0.25">
      <c r="C2215" s="71"/>
      <c r="K2215" s="71"/>
      <c r="L2215" s="71"/>
      <c r="M2215" s="67"/>
    </row>
    <row r="2216" spans="3:13" x14ac:dyDescent="0.25">
      <c r="C2216" s="71"/>
      <c r="K2216" s="71"/>
      <c r="L2216" s="71"/>
      <c r="M2216" s="67"/>
    </row>
    <row r="2217" spans="3:13" x14ac:dyDescent="0.25">
      <c r="C2217" s="71"/>
      <c r="K2217" s="71"/>
      <c r="L2217" s="71"/>
      <c r="M2217" s="67"/>
    </row>
    <row r="2218" spans="3:13" x14ac:dyDescent="0.25">
      <c r="C2218" s="71"/>
      <c r="K2218" s="71"/>
      <c r="L2218" s="71"/>
      <c r="M2218" s="67"/>
    </row>
    <row r="2219" spans="3:13" x14ac:dyDescent="0.25">
      <c r="C2219" s="71"/>
      <c r="K2219" s="71"/>
      <c r="L2219" s="71"/>
      <c r="M2219" s="67"/>
    </row>
    <row r="2220" spans="3:13" x14ac:dyDescent="0.25">
      <c r="C2220" s="71"/>
      <c r="K2220" s="71"/>
      <c r="L2220" s="71"/>
      <c r="M2220" s="67"/>
    </row>
    <row r="2221" spans="3:13" x14ac:dyDescent="0.25">
      <c r="C2221" s="71"/>
      <c r="K2221" s="71"/>
      <c r="L2221" s="71"/>
      <c r="M2221" s="67"/>
    </row>
    <row r="2222" spans="3:13" x14ac:dyDescent="0.25">
      <c r="C2222" s="71"/>
      <c r="K2222" s="71"/>
      <c r="L2222" s="71"/>
      <c r="M2222" s="67"/>
    </row>
    <row r="2223" spans="3:13" x14ac:dyDescent="0.25">
      <c r="C2223" s="71"/>
      <c r="K2223" s="71"/>
      <c r="L2223" s="71"/>
      <c r="M2223" s="67"/>
    </row>
    <row r="2224" spans="3:13" x14ac:dyDescent="0.25">
      <c r="C2224" s="71"/>
      <c r="K2224" s="71"/>
      <c r="L2224" s="71"/>
      <c r="M2224" s="67"/>
    </row>
    <row r="2225" spans="3:13" x14ac:dyDescent="0.25">
      <c r="C2225" s="71"/>
      <c r="K2225" s="71"/>
      <c r="L2225" s="71"/>
      <c r="M2225" s="67"/>
    </row>
    <row r="2226" spans="3:13" x14ac:dyDescent="0.25">
      <c r="C2226" s="71"/>
      <c r="K2226" s="71"/>
      <c r="L2226" s="71"/>
      <c r="M2226" s="67"/>
    </row>
    <row r="2227" spans="3:13" x14ac:dyDescent="0.25">
      <c r="C2227" s="71"/>
      <c r="K2227" s="71"/>
      <c r="L2227" s="71"/>
      <c r="M2227" s="67"/>
    </row>
    <row r="2228" spans="3:13" x14ac:dyDescent="0.25">
      <c r="C2228" s="71"/>
      <c r="K2228" s="71"/>
      <c r="L2228" s="71"/>
      <c r="M2228" s="67"/>
    </row>
    <row r="2229" spans="3:13" x14ac:dyDescent="0.25">
      <c r="C2229" s="71"/>
      <c r="K2229" s="71"/>
      <c r="L2229" s="71"/>
      <c r="M2229" s="67"/>
    </row>
    <row r="2230" spans="3:13" x14ac:dyDescent="0.25">
      <c r="C2230" s="71"/>
      <c r="K2230" s="71"/>
      <c r="L2230" s="71"/>
      <c r="M2230" s="67"/>
    </row>
    <row r="2231" spans="3:13" x14ac:dyDescent="0.25">
      <c r="C2231" s="71"/>
      <c r="K2231" s="71"/>
      <c r="L2231" s="71"/>
      <c r="M2231" s="67"/>
    </row>
    <row r="2232" spans="3:13" x14ac:dyDescent="0.25">
      <c r="C2232" s="71"/>
      <c r="K2232" s="71"/>
      <c r="L2232" s="71"/>
      <c r="M2232" s="67"/>
    </row>
    <row r="2233" spans="3:13" x14ac:dyDescent="0.25">
      <c r="C2233" s="71"/>
      <c r="K2233" s="71"/>
      <c r="L2233" s="71"/>
      <c r="M2233" s="67"/>
    </row>
    <row r="2234" spans="3:13" x14ac:dyDescent="0.25">
      <c r="C2234" s="71"/>
      <c r="K2234" s="71"/>
      <c r="L2234" s="71"/>
      <c r="M2234" s="67"/>
    </row>
    <row r="2235" spans="3:13" x14ac:dyDescent="0.25">
      <c r="C2235" s="71"/>
      <c r="K2235" s="71"/>
      <c r="L2235" s="71"/>
      <c r="M2235" s="67"/>
    </row>
    <row r="2236" spans="3:13" x14ac:dyDescent="0.25">
      <c r="C2236" s="71"/>
      <c r="K2236" s="71"/>
      <c r="L2236" s="71"/>
      <c r="M2236" s="67"/>
    </row>
    <row r="2237" spans="3:13" x14ac:dyDescent="0.25">
      <c r="C2237" s="71"/>
      <c r="K2237" s="71"/>
      <c r="L2237" s="71"/>
      <c r="M2237" s="67"/>
    </row>
    <row r="2238" spans="3:13" x14ac:dyDescent="0.25">
      <c r="C2238" s="71"/>
      <c r="K2238" s="71"/>
      <c r="L2238" s="71"/>
      <c r="M2238" s="67"/>
    </row>
    <row r="2239" spans="3:13" x14ac:dyDescent="0.25">
      <c r="C2239" s="71"/>
      <c r="K2239" s="71"/>
      <c r="L2239" s="71"/>
      <c r="M2239" s="67"/>
    </row>
    <row r="2240" spans="3:13" x14ac:dyDescent="0.25">
      <c r="C2240" s="71"/>
      <c r="K2240" s="71"/>
      <c r="L2240" s="71"/>
      <c r="M2240" s="67"/>
    </row>
    <row r="2241" spans="3:13" x14ac:dyDescent="0.25">
      <c r="C2241" s="71"/>
      <c r="K2241" s="71"/>
      <c r="L2241" s="71"/>
      <c r="M2241" s="67"/>
    </row>
    <row r="2242" spans="3:13" x14ac:dyDescent="0.25">
      <c r="C2242" s="71"/>
      <c r="K2242" s="71"/>
      <c r="L2242" s="71"/>
      <c r="M2242" s="67"/>
    </row>
    <row r="2243" spans="3:13" x14ac:dyDescent="0.25">
      <c r="C2243" s="71"/>
      <c r="K2243" s="71"/>
      <c r="L2243" s="71"/>
      <c r="M2243" s="67"/>
    </row>
    <row r="2244" spans="3:13" x14ac:dyDescent="0.25">
      <c r="C2244" s="71"/>
      <c r="K2244" s="71"/>
      <c r="L2244" s="71"/>
      <c r="M2244" s="67"/>
    </row>
    <row r="2245" spans="3:13" x14ac:dyDescent="0.25">
      <c r="C2245" s="71"/>
      <c r="K2245" s="71"/>
      <c r="L2245" s="71"/>
      <c r="M2245" s="67"/>
    </row>
    <row r="2246" spans="3:13" x14ac:dyDescent="0.25">
      <c r="C2246" s="71"/>
      <c r="K2246" s="71"/>
      <c r="L2246" s="71"/>
      <c r="M2246" s="67"/>
    </row>
    <row r="2247" spans="3:13" x14ac:dyDescent="0.25">
      <c r="C2247" s="71"/>
      <c r="K2247" s="71"/>
      <c r="L2247" s="71"/>
      <c r="M2247" s="67"/>
    </row>
    <row r="2248" spans="3:13" x14ac:dyDescent="0.25">
      <c r="C2248" s="71"/>
      <c r="K2248" s="71"/>
      <c r="L2248" s="71"/>
      <c r="M2248" s="67"/>
    </row>
    <row r="2249" spans="3:13" x14ac:dyDescent="0.25">
      <c r="C2249" s="71"/>
      <c r="K2249" s="71"/>
      <c r="L2249" s="71"/>
      <c r="M2249" s="67"/>
    </row>
    <row r="2250" spans="3:13" x14ac:dyDescent="0.25">
      <c r="C2250" s="71"/>
      <c r="K2250" s="71"/>
      <c r="L2250" s="71"/>
      <c r="M2250" s="67"/>
    </row>
    <row r="2251" spans="3:13" x14ac:dyDescent="0.25">
      <c r="C2251" s="71"/>
      <c r="K2251" s="71"/>
      <c r="L2251" s="71"/>
      <c r="M2251" s="67"/>
    </row>
    <row r="2252" spans="3:13" x14ac:dyDescent="0.25">
      <c r="C2252" s="71"/>
      <c r="K2252" s="71"/>
      <c r="L2252" s="71"/>
      <c r="M2252" s="67"/>
    </row>
    <row r="2253" spans="3:13" x14ac:dyDescent="0.25">
      <c r="C2253" s="71"/>
      <c r="K2253" s="71"/>
      <c r="L2253" s="71"/>
      <c r="M2253" s="67"/>
    </row>
    <row r="2254" spans="3:13" x14ac:dyDescent="0.25">
      <c r="C2254" s="71"/>
      <c r="K2254" s="71"/>
      <c r="L2254" s="71"/>
      <c r="M2254" s="67"/>
    </row>
    <row r="2255" spans="3:13" x14ac:dyDescent="0.25">
      <c r="C2255" s="71"/>
      <c r="K2255" s="71"/>
      <c r="L2255" s="71"/>
      <c r="M2255" s="67"/>
    </row>
    <row r="2256" spans="3:13" x14ac:dyDescent="0.25">
      <c r="C2256" s="71"/>
      <c r="K2256" s="71"/>
      <c r="L2256" s="71"/>
      <c r="M2256" s="67"/>
    </row>
    <row r="2257" spans="3:13" x14ac:dyDescent="0.25">
      <c r="C2257" s="71"/>
      <c r="K2257" s="71"/>
      <c r="L2257" s="71"/>
      <c r="M2257" s="67"/>
    </row>
    <row r="2258" spans="3:13" x14ac:dyDescent="0.25">
      <c r="C2258" s="71"/>
      <c r="K2258" s="71"/>
      <c r="L2258" s="71"/>
      <c r="M2258" s="67"/>
    </row>
    <row r="2259" spans="3:13" x14ac:dyDescent="0.25">
      <c r="C2259" s="71"/>
      <c r="K2259" s="71"/>
      <c r="L2259" s="71"/>
      <c r="M2259" s="67"/>
    </row>
    <row r="2260" spans="3:13" x14ac:dyDescent="0.25">
      <c r="C2260" s="71"/>
      <c r="K2260" s="71"/>
      <c r="L2260" s="71"/>
      <c r="M2260" s="67"/>
    </row>
    <row r="2261" spans="3:13" x14ac:dyDescent="0.25">
      <c r="C2261" s="71"/>
      <c r="K2261" s="71"/>
      <c r="L2261" s="71"/>
      <c r="M2261" s="67"/>
    </row>
    <row r="2262" spans="3:13" x14ac:dyDescent="0.25">
      <c r="C2262" s="71"/>
      <c r="K2262" s="71"/>
      <c r="L2262" s="71"/>
      <c r="M2262" s="67"/>
    </row>
    <row r="2263" spans="3:13" x14ac:dyDescent="0.25">
      <c r="C2263" s="71"/>
      <c r="K2263" s="71"/>
      <c r="L2263" s="71"/>
      <c r="M2263" s="67"/>
    </row>
    <row r="2264" spans="3:13" x14ac:dyDescent="0.25">
      <c r="C2264" s="71"/>
      <c r="K2264" s="71"/>
      <c r="L2264" s="71"/>
      <c r="M2264" s="67"/>
    </row>
    <row r="2265" spans="3:13" x14ac:dyDescent="0.25">
      <c r="C2265" s="71"/>
      <c r="K2265" s="71"/>
      <c r="L2265" s="71"/>
      <c r="M2265" s="67"/>
    </row>
    <row r="2266" spans="3:13" x14ac:dyDescent="0.25">
      <c r="C2266" s="71"/>
      <c r="K2266" s="71"/>
      <c r="L2266" s="71"/>
      <c r="M2266" s="67"/>
    </row>
    <row r="2267" spans="3:13" x14ac:dyDescent="0.25">
      <c r="C2267" s="71"/>
      <c r="K2267" s="71"/>
      <c r="L2267" s="71"/>
      <c r="M2267" s="67"/>
    </row>
    <row r="2268" spans="3:13" x14ac:dyDescent="0.25">
      <c r="C2268" s="71"/>
      <c r="K2268" s="71"/>
      <c r="L2268" s="71"/>
      <c r="M2268" s="67"/>
    </row>
    <row r="2269" spans="3:13" x14ac:dyDescent="0.25">
      <c r="C2269" s="71"/>
      <c r="K2269" s="71"/>
      <c r="L2269" s="71"/>
      <c r="M2269" s="67"/>
    </row>
    <row r="2270" spans="3:13" x14ac:dyDescent="0.25">
      <c r="C2270" s="71"/>
      <c r="K2270" s="71"/>
      <c r="L2270" s="71"/>
      <c r="M2270" s="67"/>
    </row>
    <row r="2271" spans="3:13" x14ac:dyDescent="0.25">
      <c r="C2271" s="71"/>
      <c r="K2271" s="71"/>
      <c r="L2271" s="71"/>
      <c r="M2271" s="67"/>
    </row>
    <row r="2272" spans="3:13" x14ac:dyDescent="0.25">
      <c r="C2272" s="71"/>
      <c r="K2272" s="71"/>
      <c r="L2272" s="71"/>
      <c r="M2272" s="67"/>
    </row>
    <row r="2273" spans="3:13" x14ac:dyDescent="0.25">
      <c r="C2273" s="71"/>
      <c r="K2273" s="71"/>
      <c r="L2273" s="71"/>
      <c r="M2273" s="67"/>
    </row>
    <row r="2274" spans="3:13" x14ac:dyDescent="0.25">
      <c r="C2274" s="71"/>
      <c r="K2274" s="71"/>
      <c r="L2274" s="71"/>
      <c r="M2274" s="67"/>
    </row>
    <row r="2275" spans="3:13" x14ac:dyDescent="0.25">
      <c r="C2275" s="71"/>
      <c r="K2275" s="71"/>
      <c r="L2275" s="71"/>
      <c r="M2275" s="67"/>
    </row>
    <row r="2276" spans="3:13" x14ac:dyDescent="0.25">
      <c r="C2276" s="71"/>
      <c r="K2276" s="71"/>
      <c r="L2276" s="71"/>
      <c r="M2276" s="67"/>
    </row>
    <row r="2277" spans="3:13" x14ac:dyDescent="0.25">
      <c r="C2277" s="71"/>
      <c r="K2277" s="71"/>
      <c r="L2277" s="71"/>
      <c r="M2277" s="67"/>
    </row>
    <row r="2278" spans="3:13" x14ac:dyDescent="0.25">
      <c r="C2278" s="71"/>
      <c r="K2278" s="71"/>
      <c r="L2278" s="71"/>
      <c r="M2278" s="67"/>
    </row>
    <row r="2279" spans="3:13" x14ac:dyDescent="0.25">
      <c r="C2279" s="71"/>
      <c r="K2279" s="71"/>
      <c r="L2279" s="71"/>
      <c r="M2279" s="67"/>
    </row>
    <row r="2280" spans="3:13" x14ac:dyDescent="0.25">
      <c r="C2280" s="71"/>
      <c r="K2280" s="71"/>
      <c r="L2280" s="71"/>
      <c r="M2280" s="67"/>
    </row>
    <row r="2281" spans="3:13" x14ac:dyDescent="0.25">
      <c r="C2281" s="71"/>
      <c r="K2281" s="71"/>
      <c r="L2281" s="71"/>
      <c r="M2281" s="67"/>
    </row>
    <row r="2282" spans="3:13" x14ac:dyDescent="0.25">
      <c r="C2282" s="71"/>
      <c r="K2282" s="71"/>
      <c r="L2282" s="71"/>
      <c r="M2282" s="67"/>
    </row>
    <row r="2283" spans="3:13" x14ac:dyDescent="0.25">
      <c r="C2283" s="71"/>
      <c r="K2283" s="71"/>
      <c r="L2283" s="71"/>
      <c r="M2283" s="67"/>
    </row>
    <row r="2284" spans="3:13" x14ac:dyDescent="0.25">
      <c r="C2284" s="71"/>
      <c r="K2284" s="71"/>
      <c r="L2284" s="71"/>
      <c r="M2284" s="67"/>
    </row>
    <row r="2285" spans="3:13" x14ac:dyDescent="0.25">
      <c r="C2285" s="71"/>
      <c r="K2285" s="71"/>
      <c r="L2285" s="71"/>
      <c r="M2285" s="67"/>
    </row>
    <row r="2286" spans="3:13" x14ac:dyDescent="0.25">
      <c r="C2286" s="71"/>
      <c r="K2286" s="71"/>
      <c r="L2286" s="71"/>
      <c r="M2286" s="67"/>
    </row>
    <row r="2287" spans="3:13" x14ac:dyDescent="0.25">
      <c r="C2287" s="71"/>
      <c r="K2287" s="71"/>
      <c r="L2287" s="71"/>
      <c r="M2287" s="67"/>
    </row>
    <row r="2288" spans="3:13" x14ac:dyDescent="0.25">
      <c r="C2288" s="71"/>
      <c r="K2288" s="71"/>
      <c r="L2288" s="71"/>
      <c r="M2288" s="67"/>
    </row>
    <row r="2289" spans="3:13" x14ac:dyDescent="0.25">
      <c r="C2289" s="71"/>
      <c r="K2289" s="71"/>
      <c r="L2289" s="71"/>
      <c r="M2289" s="67"/>
    </row>
    <row r="2290" spans="3:13" x14ac:dyDescent="0.25">
      <c r="C2290" s="71"/>
      <c r="K2290" s="71"/>
      <c r="L2290" s="71"/>
      <c r="M2290" s="67"/>
    </row>
    <row r="2291" spans="3:13" x14ac:dyDescent="0.25">
      <c r="C2291" s="71"/>
      <c r="K2291" s="71"/>
      <c r="L2291" s="71"/>
      <c r="M2291" s="67"/>
    </row>
    <row r="2292" spans="3:13" x14ac:dyDescent="0.25">
      <c r="C2292" s="71"/>
      <c r="K2292" s="71"/>
      <c r="L2292" s="71"/>
      <c r="M2292" s="67"/>
    </row>
    <row r="2293" spans="3:13" x14ac:dyDescent="0.25">
      <c r="C2293" s="71"/>
      <c r="K2293" s="71"/>
      <c r="L2293" s="71"/>
      <c r="M2293" s="67"/>
    </row>
    <row r="2294" spans="3:13" x14ac:dyDescent="0.25">
      <c r="C2294" s="71"/>
      <c r="K2294" s="71"/>
      <c r="L2294" s="71"/>
      <c r="M2294" s="67"/>
    </row>
    <row r="2295" spans="3:13" x14ac:dyDescent="0.25">
      <c r="C2295" s="71"/>
      <c r="K2295" s="71"/>
      <c r="L2295" s="71"/>
      <c r="M2295" s="67"/>
    </row>
    <row r="2296" spans="3:13" x14ac:dyDescent="0.25">
      <c r="C2296" s="71"/>
      <c r="K2296" s="71"/>
      <c r="L2296" s="71"/>
      <c r="M2296" s="67"/>
    </row>
    <row r="2297" spans="3:13" x14ac:dyDescent="0.25">
      <c r="C2297" s="71"/>
      <c r="K2297" s="71"/>
      <c r="L2297" s="71"/>
      <c r="M2297" s="67"/>
    </row>
    <row r="2298" spans="3:13" x14ac:dyDescent="0.25">
      <c r="C2298" s="71"/>
      <c r="K2298" s="71"/>
      <c r="L2298" s="71"/>
      <c r="M2298" s="67"/>
    </row>
    <row r="2299" spans="3:13" x14ac:dyDescent="0.25">
      <c r="C2299" s="71"/>
      <c r="K2299" s="71"/>
      <c r="L2299" s="71"/>
      <c r="M2299" s="67"/>
    </row>
    <row r="2300" spans="3:13" x14ac:dyDescent="0.25">
      <c r="C2300" s="71"/>
      <c r="K2300" s="71"/>
      <c r="L2300" s="71"/>
      <c r="M2300" s="67"/>
    </row>
    <row r="2301" spans="3:13" x14ac:dyDescent="0.25">
      <c r="C2301" s="71"/>
      <c r="K2301" s="71"/>
      <c r="L2301" s="71"/>
      <c r="M2301" s="67"/>
    </row>
    <row r="2302" spans="3:13" x14ac:dyDescent="0.25">
      <c r="C2302" s="71"/>
      <c r="K2302" s="71"/>
      <c r="L2302" s="71"/>
      <c r="M2302" s="67"/>
    </row>
    <row r="2303" spans="3:13" x14ac:dyDescent="0.25">
      <c r="C2303" s="71"/>
      <c r="K2303" s="71"/>
      <c r="L2303" s="71"/>
      <c r="M2303" s="67"/>
    </row>
    <row r="2304" spans="3:13" x14ac:dyDescent="0.25">
      <c r="C2304" s="71"/>
      <c r="K2304" s="71"/>
      <c r="L2304" s="71"/>
      <c r="M2304" s="67"/>
    </row>
    <row r="2305" spans="3:13" x14ac:dyDescent="0.25">
      <c r="C2305" s="71"/>
      <c r="K2305" s="71"/>
      <c r="L2305" s="71"/>
      <c r="M2305" s="67"/>
    </row>
    <row r="2306" spans="3:13" x14ac:dyDescent="0.25">
      <c r="C2306" s="71"/>
      <c r="K2306" s="71"/>
      <c r="L2306" s="71"/>
      <c r="M2306" s="67"/>
    </row>
    <row r="2307" spans="3:13" x14ac:dyDescent="0.25">
      <c r="C2307" s="71"/>
      <c r="K2307" s="71"/>
      <c r="L2307" s="71"/>
      <c r="M2307" s="67"/>
    </row>
    <row r="2308" spans="3:13" x14ac:dyDescent="0.25">
      <c r="C2308" s="71"/>
      <c r="K2308" s="71"/>
      <c r="L2308" s="71"/>
      <c r="M2308" s="67"/>
    </row>
    <row r="2309" spans="3:13" x14ac:dyDescent="0.25">
      <c r="C2309" s="71"/>
      <c r="K2309" s="71"/>
      <c r="L2309" s="71"/>
      <c r="M2309" s="67"/>
    </row>
    <row r="2310" spans="3:13" x14ac:dyDescent="0.25">
      <c r="C2310" s="71"/>
      <c r="K2310" s="71"/>
      <c r="L2310" s="71"/>
      <c r="M2310" s="67"/>
    </row>
    <row r="2311" spans="3:13" x14ac:dyDescent="0.25">
      <c r="C2311" s="71"/>
      <c r="K2311" s="71"/>
      <c r="L2311" s="71"/>
      <c r="M2311" s="67"/>
    </row>
    <row r="2312" spans="3:13" x14ac:dyDescent="0.25">
      <c r="C2312" s="71"/>
      <c r="K2312" s="71"/>
      <c r="L2312" s="71"/>
      <c r="M2312" s="67"/>
    </row>
    <row r="2313" spans="3:13" x14ac:dyDescent="0.25">
      <c r="C2313" s="71"/>
      <c r="K2313" s="71"/>
      <c r="L2313" s="71"/>
      <c r="M2313" s="67"/>
    </row>
    <row r="2314" spans="3:13" x14ac:dyDescent="0.25">
      <c r="C2314" s="71"/>
      <c r="K2314" s="71"/>
      <c r="L2314" s="71"/>
      <c r="M2314" s="67"/>
    </row>
    <row r="2315" spans="3:13" x14ac:dyDescent="0.25">
      <c r="C2315" s="71"/>
      <c r="K2315" s="71"/>
      <c r="L2315" s="71"/>
      <c r="M2315" s="67"/>
    </row>
    <row r="2316" spans="3:13" x14ac:dyDescent="0.25">
      <c r="C2316" s="71"/>
      <c r="K2316" s="71"/>
      <c r="L2316" s="71"/>
      <c r="M2316" s="67"/>
    </row>
    <row r="2317" spans="3:13" x14ac:dyDescent="0.25">
      <c r="C2317" s="71"/>
      <c r="K2317" s="71"/>
      <c r="L2317" s="71"/>
      <c r="M2317" s="67"/>
    </row>
    <row r="2318" spans="3:13" x14ac:dyDescent="0.25">
      <c r="C2318" s="71"/>
      <c r="K2318" s="71"/>
      <c r="L2318" s="71"/>
      <c r="M2318" s="67"/>
    </row>
    <row r="2319" spans="3:13" x14ac:dyDescent="0.25">
      <c r="C2319" s="71"/>
      <c r="K2319" s="71"/>
      <c r="L2319" s="71"/>
      <c r="M2319" s="67"/>
    </row>
    <row r="2320" spans="3:13" x14ac:dyDescent="0.25">
      <c r="C2320" s="71"/>
      <c r="K2320" s="71"/>
      <c r="L2320" s="71"/>
      <c r="M2320" s="67"/>
    </row>
    <row r="2321" spans="3:13" x14ac:dyDescent="0.25">
      <c r="C2321" s="71"/>
      <c r="K2321" s="71"/>
      <c r="L2321" s="71"/>
      <c r="M2321" s="67"/>
    </row>
    <row r="2322" spans="3:13" x14ac:dyDescent="0.25">
      <c r="C2322" s="71"/>
      <c r="K2322" s="71"/>
      <c r="L2322" s="71"/>
      <c r="M2322" s="67"/>
    </row>
    <row r="2323" spans="3:13" x14ac:dyDescent="0.25">
      <c r="C2323" s="71"/>
      <c r="K2323" s="71"/>
      <c r="L2323" s="71"/>
      <c r="M2323" s="67"/>
    </row>
    <row r="2324" spans="3:13" x14ac:dyDescent="0.25">
      <c r="C2324" s="71"/>
      <c r="K2324" s="71"/>
      <c r="L2324" s="71"/>
      <c r="M2324" s="67"/>
    </row>
    <row r="2325" spans="3:13" x14ac:dyDescent="0.25">
      <c r="C2325" s="71"/>
      <c r="K2325" s="71"/>
      <c r="L2325" s="71"/>
      <c r="M2325" s="67"/>
    </row>
    <row r="2326" spans="3:13" x14ac:dyDescent="0.25">
      <c r="C2326" s="71"/>
      <c r="K2326" s="71"/>
      <c r="L2326" s="71"/>
      <c r="M2326" s="67"/>
    </row>
    <row r="2327" spans="3:13" x14ac:dyDescent="0.25">
      <c r="C2327" s="71"/>
      <c r="K2327" s="71"/>
      <c r="L2327" s="71"/>
      <c r="M2327" s="67"/>
    </row>
    <row r="2328" spans="3:13" x14ac:dyDescent="0.25">
      <c r="C2328" s="71"/>
      <c r="K2328" s="71"/>
      <c r="L2328" s="71"/>
      <c r="M2328" s="67"/>
    </row>
    <row r="2329" spans="3:13" x14ac:dyDescent="0.25">
      <c r="C2329" s="71"/>
      <c r="K2329" s="71"/>
      <c r="L2329" s="71"/>
      <c r="M2329" s="67"/>
    </row>
    <row r="2330" spans="3:13" x14ac:dyDescent="0.25">
      <c r="C2330" s="71"/>
      <c r="K2330" s="71"/>
      <c r="L2330" s="71"/>
      <c r="M2330" s="67"/>
    </row>
    <row r="2331" spans="3:13" x14ac:dyDescent="0.25">
      <c r="C2331" s="71"/>
      <c r="K2331" s="71"/>
      <c r="L2331" s="71"/>
      <c r="M2331" s="67"/>
    </row>
    <row r="2332" spans="3:13" x14ac:dyDescent="0.25">
      <c r="C2332" s="71"/>
      <c r="K2332" s="71"/>
      <c r="L2332" s="71"/>
      <c r="M2332" s="67"/>
    </row>
    <row r="2333" spans="3:13" x14ac:dyDescent="0.25">
      <c r="C2333" s="71"/>
      <c r="K2333" s="71"/>
      <c r="L2333" s="71"/>
      <c r="M2333" s="67"/>
    </row>
    <row r="2334" spans="3:13" x14ac:dyDescent="0.25">
      <c r="C2334" s="71"/>
      <c r="K2334" s="71"/>
      <c r="L2334" s="71"/>
      <c r="M2334" s="67"/>
    </row>
    <row r="2335" spans="3:13" x14ac:dyDescent="0.25">
      <c r="C2335" s="71"/>
      <c r="K2335" s="71"/>
      <c r="L2335" s="71"/>
      <c r="M2335" s="67"/>
    </row>
    <row r="2336" spans="3:13" x14ac:dyDescent="0.25">
      <c r="C2336" s="71"/>
      <c r="K2336" s="71"/>
      <c r="L2336" s="71"/>
      <c r="M2336" s="67"/>
    </row>
    <row r="2337" spans="3:13" x14ac:dyDescent="0.25">
      <c r="C2337" s="71"/>
      <c r="K2337" s="71"/>
      <c r="L2337" s="71"/>
      <c r="M2337" s="67"/>
    </row>
    <row r="2338" spans="3:13" x14ac:dyDescent="0.25">
      <c r="C2338" s="71"/>
      <c r="K2338" s="71"/>
      <c r="L2338" s="71"/>
      <c r="M2338" s="67"/>
    </row>
    <row r="2339" spans="3:13" x14ac:dyDescent="0.25">
      <c r="C2339" s="71"/>
      <c r="K2339" s="71"/>
      <c r="L2339" s="71"/>
      <c r="M2339" s="67"/>
    </row>
    <row r="2340" spans="3:13" x14ac:dyDescent="0.25">
      <c r="C2340" s="71"/>
      <c r="K2340" s="71"/>
      <c r="L2340" s="71"/>
      <c r="M2340" s="67"/>
    </row>
    <row r="2341" spans="3:13" x14ac:dyDescent="0.25">
      <c r="C2341" s="71"/>
      <c r="K2341" s="71"/>
      <c r="L2341" s="71"/>
      <c r="M2341" s="67"/>
    </row>
    <row r="2342" spans="3:13" x14ac:dyDescent="0.25">
      <c r="C2342" s="71"/>
      <c r="K2342" s="71"/>
      <c r="L2342" s="71"/>
      <c r="M2342" s="67"/>
    </row>
    <row r="2343" spans="3:13" x14ac:dyDescent="0.25">
      <c r="C2343" s="71"/>
      <c r="K2343" s="71"/>
      <c r="L2343" s="71"/>
      <c r="M2343" s="67"/>
    </row>
    <row r="2344" spans="3:13" x14ac:dyDescent="0.25">
      <c r="C2344" s="71"/>
      <c r="K2344" s="71"/>
      <c r="L2344" s="71"/>
      <c r="M2344" s="67"/>
    </row>
    <row r="2345" spans="3:13" x14ac:dyDescent="0.25">
      <c r="C2345" s="71"/>
      <c r="K2345" s="71"/>
      <c r="L2345" s="71"/>
      <c r="M2345" s="67"/>
    </row>
    <row r="2346" spans="3:13" x14ac:dyDescent="0.25">
      <c r="C2346" s="71"/>
      <c r="K2346" s="71"/>
      <c r="L2346" s="71"/>
      <c r="M2346" s="67"/>
    </row>
    <row r="2347" spans="3:13" x14ac:dyDescent="0.25">
      <c r="C2347" s="71"/>
      <c r="K2347" s="71"/>
      <c r="L2347" s="71"/>
      <c r="M2347" s="67"/>
    </row>
    <row r="2348" spans="3:13" x14ac:dyDescent="0.25">
      <c r="C2348" s="71"/>
      <c r="K2348" s="71"/>
      <c r="L2348" s="71"/>
      <c r="M2348" s="67"/>
    </row>
    <row r="2349" spans="3:13" x14ac:dyDescent="0.25">
      <c r="C2349" s="71"/>
      <c r="K2349" s="71"/>
      <c r="L2349" s="71"/>
      <c r="M2349" s="67"/>
    </row>
    <row r="2350" spans="3:13" x14ac:dyDescent="0.25">
      <c r="C2350" s="71"/>
      <c r="K2350" s="71"/>
      <c r="L2350" s="71"/>
      <c r="M2350" s="67"/>
    </row>
    <row r="2351" spans="3:13" x14ac:dyDescent="0.25">
      <c r="C2351" s="71"/>
      <c r="K2351" s="71"/>
      <c r="L2351" s="71"/>
      <c r="M2351" s="67"/>
    </row>
    <row r="2352" spans="3:13" x14ac:dyDescent="0.25">
      <c r="C2352" s="71"/>
      <c r="K2352" s="71"/>
      <c r="L2352" s="71"/>
      <c r="M2352" s="67"/>
    </row>
    <row r="2353" spans="3:13" x14ac:dyDescent="0.25">
      <c r="C2353" s="71"/>
      <c r="K2353" s="71"/>
      <c r="L2353" s="71"/>
      <c r="M2353" s="67"/>
    </row>
    <row r="2354" spans="3:13" x14ac:dyDescent="0.25">
      <c r="C2354" s="71"/>
      <c r="K2354" s="71"/>
      <c r="L2354" s="71"/>
      <c r="M2354" s="67"/>
    </row>
    <row r="2355" spans="3:13" x14ac:dyDescent="0.25">
      <c r="C2355" s="71"/>
      <c r="K2355" s="71"/>
      <c r="L2355" s="71"/>
      <c r="M2355" s="67"/>
    </row>
    <row r="2356" spans="3:13" x14ac:dyDescent="0.25">
      <c r="C2356" s="71"/>
      <c r="K2356" s="71"/>
      <c r="L2356" s="71"/>
      <c r="M2356" s="67"/>
    </row>
    <row r="2357" spans="3:13" x14ac:dyDescent="0.25">
      <c r="C2357" s="71"/>
      <c r="K2357" s="71"/>
      <c r="L2357" s="71"/>
      <c r="M2357" s="67"/>
    </row>
    <row r="2358" spans="3:13" x14ac:dyDescent="0.25">
      <c r="C2358" s="71"/>
      <c r="K2358" s="71"/>
      <c r="L2358" s="71"/>
      <c r="M2358" s="67"/>
    </row>
    <row r="2359" spans="3:13" x14ac:dyDescent="0.25">
      <c r="C2359" s="71"/>
      <c r="K2359" s="71"/>
      <c r="L2359" s="71"/>
      <c r="M2359" s="67"/>
    </row>
    <row r="2360" spans="3:13" x14ac:dyDescent="0.25">
      <c r="C2360" s="71"/>
      <c r="K2360" s="71"/>
      <c r="L2360" s="71"/>
      <c r="M2360" s="67"/>
    </row>
    <row r="2361" spans="3:13" x14ac:dyDescent="0.25">
      <c r="C2361" s="71"/>
      <c r="K2361" s="71"/>
      <c r="L2361" s="71"/>
      <c r="M2361" s="67"/>
    </row>
    <row r="2362" spans="3:13" x14ac:dyDescent="0.25">
      <c r="C2362" s="71"/>
      <c r="K2362" s="71"/>
      <c r="L2362" s="71"/>
      <c r="M2362" s="67"/>
    </row>
    <row r="2363" spans="3:13" x14ac:dyDescent="0.25">
      <c r="C2363" s="71"/>
      <c r="K2363" s="71"/>
      <c r="L2363" s="71"/>
      <c r="M2363" s="67"/>
    </row>
    <row r="2364" spans="3:13" x14ac:dyDescent="0.25">
      <c r="C2364" s="71"/>
      <c r="K2364" s="71"/>
      <c r="L2364" s="71"/>
      <c r="M2364" s="67"/>
    </row>
    <row r="2365" spans="3:13" x14ac:dyDescent="0.25">
      <c r="C2365" s="71"/>
      <c r="K2365" s="71"/>
      <c r="L2365" s="71"/>
      <c r="M2365" s="67"/>
    </row>
    <row r="2366" spans="3:13" x14ac:dyDescent="0.25">
      <c r="C2366" s="71"/>
      <c r="K2366" s="71"/>
      <c r="L2366" s="71"/>
      <c r="M2366" s="67"/>
    </row>
    <row r="2367" spans="3:13" x14ac:dyDescent="0.25">
      <c r="C2367" s="71"/>
      <c r="K2367" s="71"/>
      <c r="L2367" s="71"/>
      <c r="M2367" s="67"/>
    </row>
    <row r="2368" spans="3:13" x14ac:dyDescent="0.25">
      <c r="C2368" s="71"/>
      <c r="K2368" s="71"/>
      <c r="L2368" s="71"/>
      <c r="M2368" s="67"/>
    </row>
    <row r="2369" spans="3:13" x14ac:dyDescent="0.25">
      <c r="C2369" s="71"/>
      <c r="K2369" s="71"/>
      <c r="L2369" s="71"/>
      <c r="M2369" s="67"/>
    </row>
    <row r="2370" spans="3:13" x14ac:dyDescent="0.25">
      <c r="C2370" s="71"/>
      <c r="K2370" s="71"/>
      <c r="L2370" s="71"/>
      <c r="M2370" s="67"/>
    </row>
    <row r="2371" spans="3:13" x14ac:dyDescent="0.25">
      <c r="C2371" s="71"/>
      <c r="K2371" s="71"/>
      <c r="L2371" s="71"/>
      <c r="M2371" s="67"/>
    </row>
    <row r="2372" spans="3:13" x14ac:dyDescent="0.25">
      <c r="C2372" s="71"/>
      <c r="K2372" s="71"/>
      <c r="L2372" s="71"/>
      <c r="M2372" s="67"/>
    </row>
    <row r="2373" spans="3:13" x14ac:dyDescent="0.25">
      <c r="C2373" s="71"/>
      <c r="K2373" s="71"/>
      <c r="L2373" s="71"/>
      <c r="M2373" s="67"/>
    </row>
    <row r="2374" spans="3:13" x14ac:dyDescent="0.25">
      <c r="C2374" s="71"/>
      <c r="K2374" s="71"/>
      <c r="L2374" s="71"/>
      <c r="M2374" s="67"/>
    </row>
    <row r="2375" spans="3:13" x14ac:dyDescent="0.25">
      <c r="C2375" s="71"/>
      <c r="K2375" s="71"/>
      <c r="L2375" s="71"/>
      <c r="M2375" s="67"/>
    </row>
    <row r="2376" spans="3:13" x14ac:dyDescent="0.25">
      <c r="C2376" s="71"/>
      <c r="K2376" s="71"/>
      <c r="L2376" s="71"/>
      <c r="M2376" s="67"/>
    </row>
    <row r="2377" spans="3:13" x14ac:dyDescent="0.25">
      <c r="C2377" s="71"/>
      <c r="K2377" s="71"/>
      <c r="L2377" s="71"/>
      <c r="M2377" s="67"/>
    </row>
    <row r="2378" spans="3:13" x14ac:dyDescent="0.25">
      <c r="C2378" s="71"/>
      <c r="K2378" s="71"/>
      <c r="L2378" s="71"/>
      <c r="M2378" s="67"/>
    </row>
    <row r="2379" spans="3:13" x14ac:dyDescent="0.25">
      <c r="C2379" s="71"/>
      <c r="K2379" s="71"/>
      <c r="L2379" s="71"/>
      <c r="M2379" s="67"/>
    </row>
    <row r="2380" spans="3:13" x14ac:dyDescent="0.25">
      <c r="C2380" s="71"/>
      <c r="K2380" s="71"/>
      <c r="L2380" s="71"/>
      <c r="M2380" s="67"/>
    </row>
    <row r="2381" spans="3:13" x14ac:dyDescent="0.25">
      <c r="C2381" s="71"/>
      <c r="K2381" s="71"/>
      <c r="L2381" s="71"/>
      <c r="M2381" s="67"/>
    </row>
    <row r="2382" spans="3:13" x14ac:dyDescent="0.25">
      <c r="C2382" s="71"/>
      <c r="K2382" s="71"/>
      <c r="L2382" s="71"/>
      <c r="M2382" s="67"/>
    </row>
    <row r="2383" spans="3:13" x14ac:dyDescent="0.25">
      <c r="C2383" s="71"/>
      <c r="K2383" s="71"/>
      <c r="L2383" s="71"/>
      <c r="M2383" s="67"/>
    </row>
    <row r="2384" spans="3:13" x14ac:dyDescent="0.25">
      <c r="C2384" s="71"/>
      <c r="K2384" s="71"/>
      <c r="L2384" s="71"/>
      <c r="M2384" s="67"/>
    </row>
    <row r="2385" spans="3:13" x14ac:dyDescent="0.25">
      <c r="C2385" s="71"/>
      <c r="K2385" s="71"/>
      <c r="L2385" s="71"/>
      <c r="M2385" s="67"/>
    </row>
    <row r="2386" spans="3:13" x14ac:dyDescent="0.25">
      <c r="C2386" s="71"/>
      <c r="K2386" s="71"/>
      <c r="L2386" s="71"/>
      <c r="M2386" s="67"/>
    </row>
    <row r="2387" spans="3:13" x14ac:dyDescent="0.25">
      <c r="C2387" s="71"/>
      <c r="K2387" s="71"/>
      <c r="L2387" s="71"/>
      <c r="M2387" s="67"/>
    </row>
    <row r="2388" spans="3:13" x14ac:dyDescent="0.25">
      <c r="C2388" s="71"/>
      <c r="K2388" s="71"/>
      <c r="L2388" s="71"/>
      <c r="M2388" s="67"/>
    </row>
    <row r="2389" spans="3:13" x14ac:dyDescent="0.25">
      <c r="C2389" s="71"/>
      <c r="K2389" s="71"/>
      <c r="L2389" s="71"/>
      <c r="M2389" s="67"/>
    </row>
    <row r="2390" spans="3:13" x14ac:dyDescent="0.25">
      <c r="C2390" s="71"/>
      <c r="K2390" s="71"/>
      <c r="L2390" s="71"/>
      <c r="M2390" s="67"/>
    </row>
    <row r="2391" spans="3:13" x14ac:dyDescent="0.25">
      <c r="C2391" s="71"/>
      <c r="K2391" s="71"/>
      <c r="L2391" s="71"/>
      <c r="M2391" s="67"/>
    </row>
    <row r="2392" spans="3:13" x14ac:dyDescent="0.25">
      <c r="C2392" s="71"/>
      <c r="K2392" s="71"/>
      <c r="L2392" s="71"/>
      <c r="M2392" s="67"/>
    </row>
    <row r="2393" spans="3:13" x14ac:dyDescent="0.25">
      <c r="C2393" s="71"/>
      <c r="K2393" s="71"/>
      <c r="L2393" s="71"/>
      <c r="M2393" s="67"/>
    </row>
    <row r="2394" spans="3:13" x14ac:dyDescent="0.25">
      <c r="C2394" s="71"/>
      <c r="K2394" s="71"/>
      <c r="L2394" s="71"/>
      <c r="M2394" s="67"/>
    </row>
    <row r="2395" spans="3:13" x14ac:dyDescent="0.25">
      <c r="C2395" s="71"/>
      <c r="K2395" s="71"/>
      <c r="L2395" s="71"/>
      <c r="M2395" s="67"/>
    </row>
    <row r="2396" spans="3:13" x14ac:dyDescent="0.25">
      <c r="C2396" s="71"/>
      <c r="K2396" s="71"/>
      <c r="L2396" s="71"/>
      <c r="M2396" s="67"/>
    </row>
    <row r="2397" spans="3:13" x14ac:dyDescent="0.25">
      <c r="C2397" s="71"/>
      <c r="K2397" s="71"/>
      <c r="L2397" s="71"/>
      <c r="M2397" s="67"/>
    </row>
    <row r="2398" spans="3:13" x14ac:dyDescent="0.25">
      <c r="C2398" s="71"/>
      <c r="K2398" s="71"/>
      <c r="L2398" s="71"/>
      <c r="M2398" s="67"/>
    </row>
    <row r="2399" spans="3:13" x14ac:dyDescent="0.25">
      <c r="C2399" s="71"/>
      <c r="K2399" s="71"/>
      <c r="L2399" s="71"/>
      <c r="M2399" s="67"/>
    </row>
    <row r="2400" spans="3:13" x14ac:dyDescent="0.25">
      <c r="C2400" s="71"/>
      <c r="K2400" s="71"/>
      <c r="L2400" s="71"/>
      <c r="M2400" s="67"/>
    </row>
    <row r="2401" spans="3:13" x14ac:dyDescent="0.25">
      <c r="C2401" s="71"/>
      <c r="K2401" s="71"/>
      <c r="L2401" s="71"/>
      <c r="M2401" s="67"/>
    </row>
    <row r="2402" spans="3:13" x14ac:dyDescent="0.25">
      <c r="C2402" s="71"/>
      <c r="K2402" s="71"/>
      <c r="L2402" s="71"/>
      <c r="M2402" s="67"/>
    </row>
    <row r="2403" spans="3:13" x14ac:dyDescent="0.25">
      <c r="C2403" s="71"/>
      <c r="K2403" s="71"/>
      <c r="L2403" s="71"/>
      <c r="M2403" s="67"/>
    </row>
    <row r="2404" spans="3:13" x14ac:dyDescent="0.25">
      <c r="C2404" s="71"/>
      <c r="K2404" s="71"/>
      <c r="L2404" s="71"/>
      <c r="M2404" s="67"/>
    </row>
    <row r="2405" spans="3:13" x14ac:dyDescent="0.25">
      <c r="C2405" s="71"/>
      <c r="K2405" s="71"/>
      <c r="L2405" s="71"/>
      <c r="M2405" s="67"/>
    </row>
    <row r="2406" spans="3:13" x14ac:dyDescent="0.25">
      <c r="C2406" s="71"/>
      <c r="K2406" s="71"/>
      <c r="L2406" s="71"/>
      <c r="M2406" s="67"/>
    </row>
    <row r="2407" spans="3:13" x14ac:dyDescent="0.25">
      <c r="C2407" s="71"/>
      <c r="K2407" s="71"/>
      <c r="L2407" s="71"/>
      <c r="M2407" s="67"/>
    </row>
    <row r="2408" spans="3:13" x14ac:dyDescent="0.25">
      <c r="C2408" s="71"/>
      <c r="K2408" s="71"/>
      <c r="L2408" s="71"/>
      <c r="M2408" s="67"/>
    </row>
    <row r="2409" spans="3:13" x14ac:dyDescent="0.25">
      <c r="C2409" s="71"/>
      <c r="K2409" s="71"/>
      <c r="L2409" s="71"/>
      <c r="M2409" s="67"/>
    </row>
    <row r="2410" spans="3:13" x14ac:dyDescent="0.25">
      <c r="C2410" s="71"/>
      <c r="K2410" s="71"/>
      <c r="L2410" s="71"/>
      <c r="M2410" s="67"/>
    </row>
    <row r="2411" spans="3:13" x14ac:dyDescent="0.25">
      <c r="C2411" s="71"/>
      <c r="K2411" s="71"/>
      <c r="L2411" s="71"/>
      <c r="M2411" s="67"/>
    </row>
    <row r="2412" spans="3:13" x14ac:dyDescent="0.25">
      <c r="C2412" s="71"/>
      <c r="K2412" s="71"/>
      <c r="L2412" s="71"/>
      <c r="M2412" s="67"/>
    </row>
    <row r="2413" spans="3:13" x14ac:dyDescent="0.25">
      <c r="C2413" s="71"/>
      <c r="K2413" s="71"/>
      <c r="L2413" s="71"/>
      <c r="M2413" s="67"/>
    </row>
    <row r="2414" spans="3:13" x14ac:dyDescent="0.25">
      <c r="C2414" s="71"/>
      <c r="K2414" s="71"/>
      <c r="L2414" s="71"/>
      <c r="M2414" s="67"/>
    </row>
    <row r="2415" spans="3:13" x14ac:dyDescent="0.25">
      <c r="C2415" s="71"/>
      <c r="K2415" s="71"/>
      <c r="L2415" s="71"/>
      <c r="M2415" s="67"/>
    </row>
    <row r="2416" spans="3:13" x14ac:dyDescent="0.25">
      <c r="C2416" s="71"/>
      <c r="K2416" s="71"/>
      <c r="L2416" s="71"/>
      <c r="M2416" s="67"/>
    </row>
    <row r="2417" spans="3:13" x14ac:dyDescent="0.25">
      <c r="C2417" s="71"/>
      <c r="K2417" s="71"/>
      <c r="L2417" s="71"/>
      <c r="M2417" s="67"/>
    </row>
    <row r="2418" spans="3:13" x14ac:dyDescent="0.25">
      <c r="C2418" s="71"/>
      <c r="K2418" s="71"/>
      <c r="L2418" s="71"/>
      <c r="M2418" s="67"/>
    </row>
    <row r="2419" spans="3:13" x14ac:dyDescent="0.25">
      <c r="C2419" s="71"/>
      <c r="K2419" s="71"/>
      <c r="L2419" s="71"/>
      <c r="M2419" s="67"/>
    </row>
    <row r="2420" spans="3:13" x14ac:dyDescent="0.25">
      <c r="C2420" s="71"/>
      <c r="K2420" s="71"/>
      <c r="L2420" s="71"/>
      <c r="M2420" s="67"/>
    </row>
    <row r="2421" spans="3:13" x14ac:dyDescent="0.25">
      <c r="C2421" s="71"/>
      <c r="K2421" s="71"/>
      <c r="L2421" s="71"/>
      <c r="M2421" s="67"/>
    </row>
    <row r="2422" spans="3:13" x14ac:dyDescent="0.25">
      <c r="C2422" s="71"/>
      <c r="K2422" s="71"/>
      <c r="L2422" s="71"/>
      <c r="M2422" s="67"/>
    </row>
    <row r="2423" spans="3:13" x14ac:dyDescent="0.25">
      <c r="C2423" s="71"/>
      <c r="K2423" s="71"/>
      <c r="L2423" s="71"/>
      <c r="M2423" s="67"/>
    </row>
    <row r="2424" spans="3:13" x14ac:dyDescent="0.25">
      <c r="C2424" s="71"/>
      <c r="K2424" s="71"/>
      <c r="L2424" s="71"/>
      <c r="M2424" s="67"/>
    </row>
    <row r="2425" spans="3:13" x14ac:dyDescent="0.25">
      <c r="C2425" s="71"/>
      <c r="K2425" s="71"/>
      <c r="L2425" s="71"/>
      <c r="M2425" s="67"/>
    </row>
    <row r="2426" spans="3:13" x14ac:dyDescent="0.25">
      <c r="C2426" s="71"/>
      <c r="K2426" s="71"/>
      <c r="L2426" s="71"/>
      <c r="M2426" s="67"/>
    </row>
    <row r="2427" spans="3:13" x14ac:dyDescent="0.25">
      <c r="C2427" s="71"/>
      <c r="K2427" s="71"/>
      <c r="L2427" s="71"/>
      <c r="M2427" s="67"/>
    </row>
    <row r="2428" spans="3:13" x14ac:dyDescent="0.25">
      <c r="C2428" s="71"/>
      <c r="K2428" s="71"/>
      <c r="L2428" s="71"/>
      <c r="M2428" s="67"/>
    </row>
    <row r="2429" spans="3:13" x14ac:dyDescent="0.25">
      <c r="C2429" s="71"/>
      <c r="K2429" s="71"/>
      <c r="L2429" s="71"/>
      <c r="M2429" s="67"/>
    </row>
    <row r="2430" spans="3:13" x14ac:dyDescent="0.25">
      <c r="C2430" s="71"/>
      <c r="K2430" s="71"/>
      <c r="L2430" s="71"/>
      <c r="M2430" s="67"/>
    </row>
    <row r="2431" spans="3:13" x14ac:dyDescent="0.25">
      <c r="C2431" s="71"/>
      <c r="K2431" s="71"/>
      <c r="L2431" s="71"/>
      <c r="M2431" s="67"/>
    </row>
    <row r="2432" spans="3:13" x14ac:dyDescent="0.25">
      <c r="C2432" s="71"/>
      <c r="K2432" s="71"/>
      <c r="L2432" s="71"/>
      <c r="M2432" s="67"/>
    </row>
    <row r="2433" spans="3:13" x14ac:dyDescent="0.25">
      <c r="C2433" s="71"/>
      <c r="K2433" s="71"/>
      <c r="L2433" s="71"/>
      <c r="M2433" s="67"/>
    </row>
    <row r="2434" spans="3:13" x14ac:dyDescent="0.25">
      <c r="C2434" s="71"/>
      <c r="K2434" s="71"/>
      <c r="L2434" s="71"/>
      <c r="M2434" s="67"/>
    </row>
    <row r="2435" spans="3:13" x14ac:dyDescent="0.25">
      <c r="C2435" s="71"/>
      <c r="K2435" s="71"/>
      <c r="L2435" s="71"/>
      <c r="M2435" s="67"/>
    </row>
    <row r="2436" spans="3:13" x14ac:dyDescent="0.25">
      <c r="C2436" s="71"/>
      <c r="K2436" s="71"/>
      <c r="L2436" s="71"/>
      <c r="M2436" s="67"/>
    </row>
    <row r="2437" spans="3:13" x14ac:dyDescent="0.25">
      <c r="C2437" s="71"/>
      <c r="K2437" s="71"/>
      <c r="L2437" s="71"/>
      <c r="M2437" s="67"/>
    </row>
    <row r="2438" spans="3:13" x14ac:dyDescent="0.25">
      <c r="C2438" s="71"/>
      <c r="K2438" s="71"/>
      <c r="L2438" s="71"/>
      <c r="M2438" s="67"/>
    </row>
    <row r="2439" spans="3:13" x14ac:dyDescent="0.25">
      <c r="C2439" s="71"/>
      <c r="K2439" s="71"/>
      <c r="L2439" s="71"/>
      <c r="M2439" s="67"/>
    </row>
    <row r="2440" spans="3:13" x14ac:dyDescent="0.25">
      <c r="C2440" s="71"/>
      <c r="K2440" s="71"/>
      <c r="L2440" s="71"/>
      <c r="M2440" s="67"/>
    </row>
    <row r="2441" spans="3:13" x14ac:dyDescent="0.25">
      <c r="C2441" s="71"/>
      <c r="K2441" s="71"/>
      <c r="L2441" s="71"/>
      <c r="M2441" s="67"/>
    </row>
    <row r="2442" spans="3:13" x14ac:dyDescent="0.25">
      <c r="C2442" s="71"/>
      <c r="K2442" s="71"/>
      <c r="L2442" s="71"/>
      <c r="M2442" s="67"/>
    </row>
    <row r="2443" spans="3:13" x14ac:dyDescent="0.25">
      <c r="C2443" s="71"/>
      <c r="K2443" s="71"/>
      <c r="L2443" s="71"/>
      <c r="M2443" s="67"/>
    </row>
    <row r="2444" spans="3:13" x14ac:dyDescent="0.25">
      <c r="C2444" s="71"/>
      <c r="K2444" s="71"/>
      <c r="L2444" s="71"/>
      <c r="M2444" s="67"/>
    </row>
    <row r="2445" spans="3:13" x14ac:dyDescent="0.25">
      <c r="C2445" s="71"/>
      <c r="K2445" s="71"/>
      <c r="L2445" s="71"/>
      <c r="M2445" s="67"/>
    </row>
    <row r="2446" spans="3:13" x14ac:dyDescent="0.25">
      <c r="C2446" s="71"/>
      <c r="K2446" s="71"/>
      <c r="L2446" s="71"/>
      <c r="M2446" s="67"/>
    </row>
    <row r="2447" spans="3:13" x14ac:dyDescent="0.25">
      <c r="C2447" s="71"/>
      <c r="K2447" s="71"/>
      <c r="L2447" s="71"/>
      <c r="M2447" s="67"/>
    </row>
    <row r="2448" spans="3:13" x14ac:dyDescent="0.25">
      <c r="C2448" s="71"/>
      <c r="K2448" s="71"/>
      <c r="L2448" s="71"/>
      <c r="M2448" s="67"/>
    </row>
    <row r="2449" spans="3:13" x14ac:dyDescent="0.25">
      <c r="C2449" s="71"/>
      <c r="K2449" s="71"/>
      <c r="L2449" s="71"/>
      <c r="M2449" s="67"/>
    </row>
    <row r="2450" spans="3:13" x14ac:dyDescent="0.25">
      <c r="C2450" s="71"/>
      <c r="K2450" s="71"/>
      <c r="L2450" s="71"/>
      <c r="M2450" s="67"/>
    </row>
    <row r="2451" spans="3:13" x14ac:dyDescent="0.25">
      <c r="C2451" s="71"/>
      <c r="K2451" s="71"/>
      <c r="L2451" s="71"/>
      <c r="M2451" s="67"/>
    </row>
    <row r="2452" spans="3:13" x14ac:dyDescent="0.25">
      <c r="C2452" s="71"/>
      <c r="K2452" s="71"/>
      <c r="L2452" s="71"/>
      <c r="M2452" s="67"/>
    </row>
    <row r="2453" spans="3:13" x14ac:dyDescent="0.25">
      <c r="C2453" s="71"/>
      <c r="K2453" s="71"/>
      <c r="L2453" s="71"/>
      <c r="M2453" s="67"/>
    </row>
    <row r="2454" spans="3:13" x14ac:dyDescent="0.25">
      <c r="C2454" s="71"/>
      <c r="K2454" s="71"/>
      <c r="L2454" s="71"/>
      <c r="M2454" s="67"/>
    </row>
    <row r="2455" spans="3:13" x14ac:dyDescent="0.25">
      <c r="C2455" s="71"/>
      <c r="K2455" s="71"/>
      <c r="L2455" s="71"/>
      <c r="M2455" s="67"/>
    </row>
    <row r="2456" spans="3:13" x14ac:dyDescent="0.25">
      <c r="C2456" s="71"/>
      <c r="K2456" s="71"/>
      <c r="L2456" s="71"/>
      <c r="M2456" s="67"/>
    </row>
    <row r="2457" spans="3:13" x14ac:dyDescent="0.25">
      <c r="C2457" s="71"/>
      <c r="K2457" s="71"/>
      <c r="L2457" s="71"/>
      <c r="M2457" s="67"/>
    </row>
    <row r="2458" spans="3:13" x14ac:dyDescent="0.25">
      <c r="C2458" s="71"/>
      <c r="K2458" s="71"/>
      <c r="L2458" s="71"/>
      <c r="M2458" s="67"/>
    </row>
    <row r="2459" spans="3:13" x14ac:dyDescent="0.25">
      <c r="C2459" s="71"/>
      <c r="K2459" s="71"/>
      <c r="L2459" s="71"/>
      <c r="M2459" s="67"/>
    </row>
    <row r="2460" spans="3:13" x14ac:dyDescent="0.25">
      <c r="C2460" s="71"/>
      <c r="K2460" s="71"/>
      <c r="L2460" s="71"/>
      <c r="M2460" s="67"/>
    </row>
    <row r="2461" spans="3:13" x14ac:dyDescent="0.25">
      <c r="C2461" s="71"/>
      <c r="K2461" s="71"/>
      <c r="L2461" s="71"/>
      <c r="M2461" s="67"/>
    </row>
    <row r="2462" spans="3:13" x14ac:dyDescent="0.25">
      <c r="C2462" s="71"/>
      <c r="K2462" s="71"/>
      <c r="L2462" s="71"/>
      <c r="M2462" s="67"/>
    </row>
    <row r="2463" spans="3:13" x14ac:dyDescent="0.25">
      <c r="C2463" s="71"/>
      <c r="K2463" s="71"/>
      <c r="L2463" s="71"/>
      <c r="M2463" s="67"/>
    </row>
    <row r="2464" spans="3:13" x14ac:dyDescent="0.25">
      <c r="C2464" s="71"/>
      <c r="K2464" s="71"/>
      <c r="L2464" s="71"/>
      <c r="M2464" s="67"/>
    </row>
    <row r="2465" spans="3:13" x14ac:dyDescent="0.25">
      <c r="C2465" s="71"/>
      <c r="K2465" s="71"/>
      <c r="L2465" s="71"/>
      <c r="M2465" s="67"/>
    </row>
    <row r="2466" spans="3:13" x14ac:dyDescent="0.25">
      <c r="C2466" s="71"/>
      <c r="K2466" s="71"/>
      <c r="L2466" s="71"/>
      <c r="M2466" s="67"/>
    </row>
    <row r="2467" spans="3:13" x14ac:dyDescent="0.25">
      <c r="C2467" s="71"/>
      <c r="K2467" s="71"/>
      <c r="L2467" s="71"/>
      <c r="M2467" s="67"/>
    </row>
    <row r="2468" spans="3:13" x14ac:dyDescent="0.25">
      <c r="C2468" s="71"/>
      <c r="K2468" s="71"/>
      <c r="L2468" s="71"/>
      <c r="M2468" s="67"/>
    </row>
    <row r="2469" spans="3:13" x14ac:dyDescent="0.25">
      <c r="C2469" s="71"/>
      <c r="K2469" s="71"/>
      <c r="L2469" s="71"/>
      <c r="M2469" s="67"/>
    </row>
    <row r="2470" spans="3:13" x14ac:dyDescent="0.25">
      <c r="C2470" s="71"/>
      <c r="K2470" s="71"/>
      <c r="L2470" s="71"/>
      <c r="M2470" s="67"/>
    </row>
    <row r="2471" spans="3:13" x14ac:dyDescent="0.25">
      <c r="C2471" s="71"/>
      <c r="K2471" s="71"/>
      <c r="L2471" s="71"/>
      <c r="M2471" s="67"/>
    </row>
    <row r="2472" spans="3:13" x14ac:dyDescent="0.25">
      <c r="C2472" s="71"/>
      <c r="K2472" s="71"/>
      <c r="L2472" s="71"/>
      <c r="M2472" s="67"/>
    </row>
    <row r="2473" spans="3:13" x14ac:dyDescent="0.25">
      <c r="C2473" s="71"/>
      <c r="K2473" s="71"/>
      <c r="L2473" s="71"/>
      <c r="M2473" s="67"/>
    </row>
    <row r="2474" spans="3:13" x14ac:dyDescent="0.25">
      <c r="C2474" s="71"/>
      <c r="K2474" s="71"/>
      <c r="L2474" s="71"/>
      <c r="M2474" s="67"/>
    </row>
    <row r="2475" spans="3:13" x14ac:dyDescent="0.25">
      <c r="C2475" s="71"/>
      <c r="K2475" s="71"/>
      <c r="L2475" s="71"/>
      <c r="M2475" s="67"/>
    </row>
    <row r="2476" spans="3:13" x14ac:dyDescent="0.25">
      <c r="C2476" s="71"/>
      <c r="K2476" s="71"/>
      <c r="L2476" s="71"/>
      <c r="M2476" s="67"/>
    </row>
    <row r="2477" spans="3:13" x14ac:dyDescent="0.25">
      <c r="C2477" s="71"/>
      <c r="K2477" s="71"/>
      <c r="L2477" s="71"/>
      <c r="M2477" s="67"/>
    </row>
    <row r="2478" spans="3:13" x14ac:dyDescent="0.25">
      <c r="C2478" s="71"/>
      <c r="K2478" s="71"/>
      <c r="L2478" s="71"/>
      <c r="M2478" s="67"/>
    </row>
    <row r="2479" spans="3:13" x14ac:dyDescent="0.25">
      <c r="C2479" s="71"/>
      <c r="K2479" s="71"/>
      <c r="L2479" s="71"/>
      <c r="M2479" s="67"/>
    </row>
    <row r="2480" spans="3:13" x14ac:dyDescent="0.25">
      <c r="C2480" s="71"/>
      <c r="K2480" s="71"/>
      <c r="L2480" s="71"/>
      <c r="M2480" s="67"/>
    </row>
    <row r="2481" spans="3:13" x14ac:dyDescent="0.25">
      <c r="C2481" s="71"/>
      <c r="K2481" s="71"/>
      <c r="L2481" s="71"/>
      <c r="M2481" s="67"/>
    </row>
    <row r="2482" spans="3:13" x14ac:dyDescent="0.25">
      <c r="C2482" s="71"/>
      <c r="K2482" s="71"/>
      <c r="L2482" s="71"/>
      <c r="M2482" s="67"/>
    </row>
    <row r="2483" spans="3:13" x14ac:dyDescent="0.25">
      <c r="C2483" s="71"/>
      <c r="K2483" s="71"/>
      <c r="L2483" s="71"/>
      <c r="M2483" s="67"/>
    </row>
    <row r="2484" spans="3:13" x14ac:dyDescent="0.25">
      <c r="C2484" s="71"/>
      <c r="K2484" s="71"/>
      <c r="L2484" s="71"/>
      <c r="M2484" s="67"/>
    </row>
    <row r="2485" spans="3:13" x14ac:dyDescent="0.25">
      <c r="C2485" s="71"/>
      <c r="K2485" s="71"/>
      <c r="L2485" s="71"/>
      <c r="M2485" s="67"/>
    </row>
    <row r="2486" spans="3:13" x14ac:dyDescent="0.25">
      <c r="C2486" s="71"/>
      <c r="K2486" s="71"/>
      <c r="L2486" s="71"/>
      <c r="M2486" s="67"/>
    </row>
    <row r="2487" spans="3:13" x14ac:dyDescent="0.25">
      <c r="C2487" s="71"/>
      <c r="K2487" s="71"/>
      <c r="L2487" s="71"/>
      <c r="M2487" s="67"/>
    </row>
    <row r="2488" spans="3:13" x14ac:dyDescent="0.25">
      <c r="C2488" s="71"/>
      <c r="K2488" s="71"/>
      <c r="L2488" s="71"/>
      <c r="M2488" s="67"/>
    </row>
    <row r="2489" spans="3:13" x14ac:dyDescent="0.25">
      <c r="C2489" s="71"/>
      <c r="K2489" s="71"/>
      <c r="L2489" s="71"/>
      <c r="M2489" s="67"/>
    </row>
    <row r="2490" spans="3:13" x14ac:dyDescent="0.25">
      <c r="C2490" s="71"/>
      <c r="K2490" s="71"/>
      <c r="L2490" s="71"/>
      <c r="M2490" s="67"/>
    </row>
    <row r="2491" spans="3:13" x14ac:dyDescent="0.25">
      <c r="C2491" s="71"/>
      <c r="K2491" s="71"/>
      <c r="L2491" s="71"/>
      <c r="M2491" s="67"/>
    </row>
    <row r="2492" spans="3:13" x14ac:dyDescent="0.25">
      <c r="C2492" s="71"/>
      <c r="K2492" s="71"/>
      <c r="L2492" s="71"/>
      <c r="M2492" s="67"/>
    </row>
    <row r="2493" spans="3:13" x14ac:dyDescent="0.25">
      <c r="C2493" s="71"/>
      <c r="K2493" s="71"/>
      <c r="L2493" s="71"/>
      <c r="M2493" s="67"/>
    </row>
    <row r="2494" spans="3:13" x14ac:dyDescent="0.25">
      <c r="C2494" s="71"/>
      <c r="K2494" s="71"/>
      <c r="L2494" s="71"/>
      <c r="M2494" s="67"/>
    </row>
    <row r="2495" spans="3:13" x14ac:dyDescent="0.25">
      <c r="C2495" s="71"/>
      <c r="K2495" s="71"/>
      <c r="L2495" s="71"/>
      <c r="M2495" s="67"/>
    </row>
    <row r="2496" spans="3:13" x14ac:dyDescent="0.25">
      <c r="C2496" s="71"/>
      <c r="K2496" s="71"/>
      <c r="L2496" s="71"/>
      <c r="M2496" s="67"/>
    </row>
    <row r="2497" spans="3:13" x14ac:dyDescent="0.25">
      <c r="C2497" s="71"/>
      <c r="K2497" s="71"/>
      <c r="L2497" s="71"/>
      <c r="M2497" s="67"/>
    </row>
    <row r="2498" spans="3:13" x14ac:dyDescent="0.25">
      <c r="C2498" s="71"/>
      <c r="K2498" s="71"/>
      <c r="L2498" s="71"/>
      <c r="M2498" s="67"/>
    </row>
    <row r="2499" spans="3:13" x14ac:dyDescent="0.25">
      <c r="C2499" s="71"/>
      <c r="K2499" s="71"/>
      <c r="L2499" s="71"/>
      <c r="M2499" s="67"/>
    </row>
    <row r="2500" spans="3:13" x14ac:dyDescent="0.25">
      <c r="C2500" s="71"/>
      <c r="K2500" s="71"/>
      <c r="L2500" s="71"/>
      <c r="M2500" s="67"/>
    </row>
    <row r="2501" spans="3:13" x14ac:dyDescent="0.25">
      <c r="C2501" s="71"/>
      <c r="K2501" s="71"/>
      <c r="L2501" s="71"/>
      <c r="M2501" s="67"/>
    </row>
    <row r="2502" spans="3:13" x14ac:dyDescent="0.25">
      <c r="C2502" s="71"/>
      <c r="K2502" s="71"/>
      <c r="L2502" s="71"/>
      <c r="M2502" s="67"/>
    </row>
    <row r="2503" spans="3:13" x14ac:dyDescent="0.25">
      <c r="C2503" s="71"/>
      <c r="K2503" s="71"/>
      <c r="L2503" s="71"/>
      <c r="M2503" s="67"/>
    </row>
    <row r="2504" spans="3:13" x14ac:dyDescent="0.25">
      <c r="C2504" s="71"/>
      <c r="K2504" s="71"/>
      <c r="L2504" s="71"/>
      <c r="M2504" s="67"/>
    </row>
    <row r="2505" spans="3:13" x14ac:dyDescent="0.25">
      <c r="C2505" s="71"/>
      <c r="K2505" s="71"/>
      <c r="L2505" s="71"/>
      <c r="M2505" s="67"/>
    </row>
    <row r="2506" spans="3:13" x14ac:dyDescent="0.25">
      <c r="C2506" s="71"/>
      <c r="K2506" s="71"/>
      <c r="L2506" s="71"/>
      <c r="M2506" s="67"/>
    </row>
    <row r="2507" spans="3:13" x14ac:dyDescent="0.25">
      <c r="C2507" s="71"/>
      <c r="K2507" s="71"/>
      <c r="L2507" s="71"/>
      <c r="M2507" s="67"/>
    </row>
    <row r="2508" spans="3:13" x14ac:dyDescent="0.25">
      <c r="C2508" s="71"/>
      <c r="K2508" s="71"/>
      <c r="L2508" s="71"/>
      <c r="M2508" s="67"/>
    </row>
    <row r="2509" spans="3:13" x14ac:dyDescent="0.25">
      <c r="C2509" s="71"/>
      <c r="K2509" s="71"/>
      <c r="L2509" s="71"/>
      <c r="M2509" s="67"/>
    </row>
    <row r="2510" spans="3:13" x14ac:dyDescent="0.25">
      <c r="C2510" s="71"/>
      <c r="K2510" s="71"/>
      <c r="L2510" s="71"/>
      <c r="M2510" s="67"/>
    </row>
    <row r="2511" spans="3:13" x14ac:dyDescent="0.25">
      <c r="C2511" s="71"/>
      <c r="K2511" s="71"/>
      <c r="L2511" s="71"/>
      <c r="M2511" s="67"/>
    </row>
    <row r="2512" spans="3:13" x14ac:dyDescent="0.25">
      <c r="C2512" s="71"/>
      <c r="K2512" s="71"/>
      <c r="L2512" s="71"/>
      <c r="M2512" s="67"/>
    </row>
    <row r="2513" spans="3:13" x14ac:dyDescent="0.25">
      <c r="C2513" s="71"/>
      <c r="K2513" s="71"/>
      <c r="L2513" s="71"/>
      <c r="M2513" s="67"/>
    </row>
    <row r="2514" spans="3:13" x14ac:dyDescent="0.25">
      <c r="C2514" s="71"/>
      <c r="K2514" s="71"/>
      <c r="L2514" s="71"/>
      <c r="M2514" s="67"/>
    </row>
    <row r="2515" spans="3:13" x14ac:dyDescent="0.25">
      <c r="C2515" s="71"/>
      <c r="K2515" s="71"/>
      <c r="L2515" s="71"/>
      <c r="M2515" s="67"/>
    </row>
    <row r="2516" spans="3:13" x14ac:dyDescent="0.25">
      <c r="C2516" s="71"/>
      <c r="K2516" s="71"/>
      <c r="L2516" s="71"/>
      <c r="M2516" s="67"/>
    </row>
    <row r="2517" spans="3:13" x14ac:dyDescent="0.25">
      <c r="C2517" s="71"/>
      <c r="K2517" s="71"/>
      <c r="L2517" s="71"/>
      <c r="M2517" s="67"/>
    </row>
    <row r="2518" spans="3:13" x14ac:dyDescent="0.25">
      <c r="C2518" s="71"/>
      <c r="K2518" s="71"/>
      <c r="L2518" s="71"/>
      <c r="M2518" s="67"/>
    </row>
    <row r="2519" spans="3:13" x14ac:dyDescent="0.25">
      <c r="C2519" s="71"/>
      <c r="K2519" s="71"/>
      <c r="L2519" s="71"/>
      <c r="M2519" s="67"/>
    </row>
    <row r="2520" spans="3:13" x14ac:dyDescent="0.25">
      <c r="C2520" s="71"/>
      <c r="K2520" s="71"/>
      <c r="L2520" s="71"/>
      <c r="M2520" s="67"/>
    </row>
    <row r="2521" spans="3:13" x14ac:dyDescent="0.25">
      <c r="C2521" s="71"/>
      <c r="K2521" s="71"/>
      <c r="L2521" s="71"/>
      <c r="M2521" s="67"/>
    </row>
    <row r="2522" spans="3:13" x14ac:dyDescent="0.25">
      <c r="C2522" s="71"/>
      <c r="K2522" s="71"/>
      <c r="L2522" s="71"/>
      <c r="M2522" s="67"/>
    </row>
    <row r="2523" spans="3:13" x14ac:dyDescent="0.25">
      <c r="C2523" s="71"/>
      <c r="K2523" s="71"/>
      <c r="L2523" s="71"/>
      <c r="M2523" s="67"/>
    </row>
    <row r="2524" spans="3:13" x14ac:dyDescent="0.25">
      <c r="C2524" s="71"/>
      <c r="K2524" s="71"/>
      <c r="L2524" s="71"/>
      <c r="M2524" s="67"/>
    </row>
    <row r="2525" spans="3:13" x14ac:dyDescent="0.25">
      <c r="C2525" s="71"/>
      <c r="K2525" s="71"/>
      <c r="L2525" s="71"/>
      <c r="M2525" s="67"/>
    </row>
    <row r="2526" spans="3:13" x14ac:dyDescent="0.25">
      <c r="C2526" s="71"/>
      <c r="K2526" s="71"/>
      <c r="L2526" s="71"/>
      <c r="M2526" s="67"/>
    </row>
    <row r="2527" spans="3:13" x14ac:dyDescent="0.25">
      <c r="C2527" s="71"/>
      <c r="K2527" s="71"/>
      <c r="L2527" s="71"/>
      <c r="M2527" s="67"/>
    </row>
    <row r="2528" spans="3:13" x14ac:dyDescent="0.25">
      <c r="C2528" s="71"/>
      <c r="K2528" s="71"/>
      <c r="L2528" s="71"/>
      <c r="M2528" s="67"/>
    </row>
    <row r="2529" spans="3:13" x14ac:dyDescent="0.25">
      <c r="C2529" s="71"/>
      <c r="K2529" s="71"/>
      <c r="L2529" s="71"/>
      <c r="M2529" s="67"/>
    </row>
    <row r="2530" spans="3:13" x14ac:dyDescent="0.25">
      <c r="C2530" s="71"/>
      <c r="K2530" s="71"/>
      <c r="L2530" s="71"/>
      <c r="M2530" s="67"/>
    </row>
    <row r="2531" spans="3:13" x14ac:dyDescent="0.25">
      <c r="C2531" s="71"/>
      <c r="K2531" s="71"/>
      <c r="L2531" s="71"/>
      <c r="M2531" s="67"/>
    </row>
    <row r="2532" spans="3:13" x14ac:dyDescent="0.25">
      <c r="C2532" s="71"/>
      <c r="K2532" s="71"/>
      <c r="L2532" s="71"/>
      <c r="M2532" s="67"/>
    </row>
    <row r="2533" spans="3:13" x14ac:dyDescent="0.25">
      <c r="C2533" s="71"/>
      <c r="K2533" s="71"/>
      <c r="L2533" s="71"/>
      <c r="M2533" s="67"/>
    </row>
    <row r="2534" spans="3:13" x14ac:dyDescent="0.25">
      <c r="C2534" s="71"/>
      <c r="K2534" s="71"/>
      <c r="L2534" s="71"/>
      <c r="M2534" s="67"/>
    </row>
    <row r="2535" spans="3:13" x14ac:dyDescent="0.25">
      <c r="C2535" s="71"/>
      <c r="K2535" s="71"/>
      <c r="L2535" s="71"/>
      <c r="M2535" s="67"/>
    </row>
    <row r="2536" spans="3:13" x14ac:dyDescent="0.25">
      <c r="C2536" s="71"/>
      <c r="K2536" s="71"/>
      <c r="L2536" s="71"/>
      <c r="M2536" s="67"/>
    </row>
    <row r="2537" spans="3:13" x14ac:dyDescent="0.25">
      <c r="C2537" s="71"/>
      <c r="K2537" s="71"/>
      <c r="L2537" s="71"/>
      <c r="M2537" s="67"/>
    </row>
    <row r="2538" spans="3:13" x14ac:dyDescent="0.25">
      <c r="C2538" s="71"/>
      <c r="K2538" s="71"/>
      <c r="L2538" s="71"/>
      <c r="M2538" s="67"/>
    </row>
    <row r="2539" spans="3:13" x14ac:dyDescent="0.25">
      <c r="C2539" s="71"/>
      <c r="K2539" s="71"/>
      <c r="L2539" s="71"/>
      <c r="M2539" s="67"/>
    </row>
    <row r="2540" spans="3:13" x14ac:dyDescent="0.25">
      <c r="C2540" s="71"/>
      <c r="K2540" s="71"/>
      <c r="L2540" s="71"/>
      <c r="M2540" s="67"/>
    </row>
    <row r="2541" spans="3:13" x14ac:dyDescent="0.25">
      <c r="C2541" s="71"/>
      <c r="K2541" s="71"/>
      <c r="L2541" s="71"/>
      <c r="M2541" s="67"/>
    </row>
    <row r="2542" spans="3:13" x14ac:dyDescent="0.25">
      <c r="C2542" s="71"/>
      <c r="K2542" s="71"/>
      <c r="L2542" s="71"/>
      <c r="M2542" s="67"/>
    </row>
    <row r="2543" spans="3:13" x14ac:dyDescent="0.25">
      <c r="C2543" s="71"/>
      <c r="K2543" s="71"/>
      <c r="L2543" s="71"/>
      <c r="M2543" s="67"/>
    </row>
    <row r="2544" spans="3:13" x14ac:dyDescent="0.25">
      <c r="C2544" s="71"/>
      <c r="K2544" s="71"/>
      <c r="L2544" s="71"/>
      <c r="M2544" s="67"/>
    </row>
    <row r="2545" spans="3:13" x14ac:dyDescent="0.25">
      <c r="C2545" s="71"/>
      <c r="K2545" s="71"/>
      <c r="L2545" s="71"/>
      <c r="M2545" s="67"/>
    </row>
    <row r="2546" spans="3:13" x14ac:dyDescent="0.25">
      <c r="C2546" s="71"/>
      <c r="K2546" s="71"/>
      <c r="L2546" s="71"/>
      <c r="M2546" s="67"/>
    </row>
    <row r="2547" spans="3:13" x14ac:dyDescent="0.25">
      <c r="C2547" s="71"/>
      <c r="K2547" s="71"/>
      <c r="L2547" s="71"/>
      <c r="M2547" s="67"/>
    </row>
    <row r="2548" spans="3:13" x14ac:dyDescent="0.25">
      <c r="C2548" s="71"/>
      <c r="K2548" s="71"/>
      <c r="L2548" s="71"/>
      <c r="M2548" s="67"/>
    </row>
    <row r="2549" spans="3:13" x14ac:dyDescent="0.25">
      <c r="C2549" s="71"/>
      <c r="K2549" s="71"/>
      <c r="L2549" s="71"/>
      <c r="M2549" s="67"/>
    </row>
    <row r="2550" spans="3:13" x14ac:dyDescent="0.25">
      <c r="C2550" s="71"/>
      <c r="K2550" s="71"/>
      <c r="L2550" s="71"/>
      <c r="M2550" s="67"/>
    </row>
    <row r="2551" spans="3:13" x14ac:dyDescent="0.25">
      <c r="C2551" s="71"/>
      <c r="K2551" s="71"/>
      <c r="L2551" s="71"/>
      <c r="M2551" s="67"/>
    </row>
    <row r="2552" spans="3:13" x14ac:dyDescent="0.25">
      <c r="C2552" s="71"/>
      <c r="K2552" s="71"/>
      <c r="L2552" s="71"/>
      <c r="M2552" s="67"/>
    </row>
    <row r="2553" spans="3:13" x14ac:dyDescent="0.25">
      <c r="C2553" s="71"/>
      <c r="K2553" s="71"/>
      <c r="L2553" s="71"/>
      <c r="M2553" s="67"/>
    </row>
    <row r="2554" spans="3:13" x14ac:dyDescent="0.25">
      <c r="C2554" s="71"/>
      <c r="K2554" s="71"/>
      <c r="L2554" s="71"/>
      <c r="M2554" s="67"/>
    </row>
    <row r="2555" spans="3:13" x14ac:dyDescent="0.25">
      <c r="C2555" s="71"/>
      <c r="K2555" s="71"/>
      <c r="L2555" s="71"/>
      <c r="M2555" s="67"/>
    </row>
    <row r="2556" spans="3:13" x14ac:dyDescent="0.25">
      <c r="C2556" s="71"/>
      <c r="K2556" s="71"/>
      <c r="L2556" s="71"/>
      <c r="M2556" s="67"/>
    </row>
    <row r="2557" spans="3:13" x14ac:dyDescent="0.25">
      <c r="C2557" s="71"/>
      <c r="K2557" s="71"/>
      <c r="L2557" s="71"/>
      <c r="M2557" s="67"/>
    </row>
    <row r="2558" spans="3:13" x14ac:dyDescent="0.25">
      <c r="C2558" s="71"/>
      <c r="K2558" s="71"/>
      <c r="L2558" s="71"/>
      <c r="M2558" s="67"/>
    </row>
    <row r="2559" spans="3:13" x14ac:dyDescent="0.25">
      <c r="C2559" s="71"/>
      <c r="K2559" s="71"/>
      <c r="L2559" s="71"/>
      <c r="M2559" s="67"/>
    </row>
    <row r="2560" spans="3:13" x14ac:dyDescent="0.25">
      <c r="C2560" s="71"/>
      <c r="K2560" s="71"/>
      <c r="L2560" s="71"/>
      <c r="M2560" s="67"/>
    </row>
    <row r="2561" spans="3:13" x14ac:dyDescent="0.25">
      <c r="C2561" s="71"/>
      <c r="K2561" s="71"/>
      <c r="L2561" s="71"/>
      <c r="M2561" s="67"/>
    </row>
    <row r="2562" spans="3:13" x14ac:dyDescent="0.25">
      <c r="C2562" s="71"/>
      <c r="K2562" s="71"/>
      <c r="L2562" s="71"/>
      <c r="M2562" s="67"/>
    </row>
    <row r="2563" spans="3:13" x14ac:dyDescent="0.25">
      <c r="C2563" s="71"/>
      <c r="K2563" s="71"/>
      <c r="L2563" s="71"/>
      <c r="M2563" s="67"/>
    </row>
    <row r="2564" spans="3:13" x14ac:dyDescent="0.25">
      <c r="C2564" s="71"/>
      <c r="K2564" s="71"/>
      <c r="L2564" s="71"/>
      <c r="M2564" s="67"/>
    </row>
    <row r="2565" spans="3:13" x14ac:dyDescent="0.25">
      <c r="C2565" s="71"/>
      <c r="K2565" s="71"/>
      <c r="L2565" s="71"/>
      <c r="M2565" s="67"/>
    </row>
    <row r="2566" spans="3:13" x14ac:dyDescent="0.25">
      <c r="C2566" s="71"/>
      <c r="K2566" s="71"/>
      <c r="L2566" s="71"/>
      <c r="M2566" s="67"/>
    </row>
    <row r="2567" spans="3:13" x14ac:dyDescent="0.25">
      <c r="C2567" s="71"/>
      <c r="K2567" s="71"/>
      <c r="L2567" s="71"/>
      <c r="M2567" s="67"/>
    </row>
    <row r="2568" spans="3:13" x14ac:dyDescent="0.25">
      <c r="C2568" s="71"/>
      <c r="K2568" s="71"/>
      <c r="L2568" s="71"/>
      <c r="M2568" s="67"/>
    </row>
    <row r="2569" spans="3:13" x14ac:dyDescent="0.25">
      <c r="C2569" s="71"/>
      <c r="K2569" s="71"/>
      <c r="L2569" s="71"/>
      <c r="M2569" s="67"/>
    </row>
    <row r="2570" spans="3:13" x14ac:dyDescent="0.25">
      <c r="C2570" s="71"/>
      <c r="K2570" s="71"/>
      <c r="L2570" s="71"/>
      <c r="M2570" s="67"/>
    </row>
    <row r="2571" spans="3:13" x14ac:dyDescent="0.25">
      <c r="C2571" s="71"/>
      <c r="K2571" s="71"/>
      <c r="L2571" s="71"/>
      <c r="M2571" s="67"/>
    </row>
    <row r="2572" spans="3:13" x14ac:dyDescent="0.25">
      <c r="C2572" s="71"/>
      <c r="K2572" s="71"/>
      <c r="L2572" s="71"/>
      <c r="M2572" s="67"/>
    </row>
    <row r="2573" spans="3:13" x14ac:dyDescent="0.25">
      <c r="C2573" s="71"/>
      <c r="K2573" s="71"/>
      <c r="L2573" s="71"/>
      <c r="M2573" s="67"/>
    </row>
    <row r="2574" spans="3:13" x14ac:dyDescent="0.25">
      <c r="C2574" s="71"/>
      <c r="K2574" s="71"/>
      <c r="L2574" s="71"/>
      <c r="M2574" s="67"/>
    </row>
    <row r="2575" spans="3:13" x14ac:dyDescent="0.25">
      <c r="C2575" s="71"/>
      <c r="K2575" s="71"/>
      <c r="L2575" s="71"/>
      <c r="M2575" s="67"/>
    </row>
  </sheetData>
  <autoFilter ref="A1:W1" xr:uid="{00000000-0001-0000-0100-000000000000}"/>
  <customSheetViews>
    <customSheetView guid="{5D34E837-02BC-48BE-83FB-ACBC50171292}" scale="110" showAutoFilter="1" state="veryHidden">
      <selection activeCell="B2" sqref="B2"/>
      <pageMargins left="0.7" right="0.7" top="0.75" bottom="0.75" header="0.3" footer="0.3"/>
      <autoFilter ref="A1:V1" xr:uid="{079682E9-804B-425F-B003-2933E8F01B35}"/>
    </customSheetView>
  </customSheetViews>
  <conditionalFormatting sqref="E1">
    <cfRule type="duplicateValues" dxfId="54" priority="707"/>
  </conditionalFormatting>
  <pageMargins left="0.7" right="0.7" top="0.75" bottom="0.75" header="0.3" footer="0.3"/>
  <pageSetup orientation="portrait" horizontalDpi="300" verticalDpi="3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5:U157"/>
  <sheetViews>
    <sheetView workbookViewId="0">
      <selection activeCell="A7" sqref="A7"/>
    </sheetView>
  </sheetViews>
  <sheetFormatPr defaultColWidth="9.140625" defaultRowHeight="15" x14ac:dyDescent="0.25"/>
  <cols>
    <col min="1" max="1" width="21.5703125" customWidth="1"/>
    <col min="2" max="2" width="16.28515625" bestFit="1" customWidth="1"/>
    <col min="3" max="3" width="11.28515625" customWidth="1"/>
    <col min="4" max="4" width="26.140625" bestFit="1" customWidth="1"/>
    <col min="5" max="5" width="14.5703125" bestFit="1" customWidth="1"/>
    <col min="6" max="6" width="15.85546875" bestFit="1" customWidth="1"/>
    <col min="7" max="7" width="27.7109375" bestFit="1" customWidth="1"/>
    <col min="8" max="8" width="19.42578125" bestFit="1" customWidth="1"/>
    <col min="9" max="9" width="29.85546875" bestFit="1" customWidth="1"/>
    <col min="10" max="10" width="14.5703125" bestFit="1" customWidth="1"/>
    <col min="11" max="12" width="11.28515625" bestFit="1" customWidth="1"/>
    <col min="13" max="14" width="6.7109375" bestFit="1" customWidth="1"/>
    <col min="15" max="15" width="9.7109375" bestFit="1" customWidth="1"/>
    <col min="16" max="18" width="6.7109375" bestFit="1" customWidth="1"/>
    <col min="19" max="19" width="9.7109375" bestFit="1" customWidth="1"/>
    <col min="20" max="20" width="9.85546875" bestFit="1" customWidth="1"/>
    <col min="21" max="21" width="11.28515625" bestFit="1" customWidth="1"/>
    <col min="22" max="22" width="14.5703125" bestFit="1" customWidth="1"/>
    <col min="23" max="23" width="8.42578125" bestFit="1" customWidth="1"/>
    <col min="24" max="24" width="12" bestFit="1" customWidth="1"/>
    <col min="25" max="25" width="26.5703125" bestFit="1" customWidth="1"/>
    <col min="26" max="26" width="4.140625" bestFit="1" customWidth="1"/>
    <col min="27" max="27" width="6.7109375" bestFit="1" customWidth="1"/>
    <col min="28" max="28" width="4.28515625" bestFit="1" customWidth="1"/>
    <col min="29" max="29" width="3.5703125" bestFit="1" customWidth="1"/>
    <col min="30" max="30" width="25.140625" bestFit="1" customWidth="1"/>
    <col min="31" max="31" width="24.42578125" bestFit="1" customWidth="1"/>
    <col min="32" max="32" width="28.28515625" bestFit="1" customWidth="1"/>
    <col min="33" max="33" width="27.7109375" bestFit="1" customWidth="1"/>
    <col min="34" max="34" width="20.28515625" bestFit="1" customWidth="1"/>
    <col min="35" max="35" width="19.42578125" bestFit="1" customWidth="1"/>
    <col min="36" max="36" width="11.28515625" bestFit="1" customWidth="1"/>
    <col min="37" max="37" width="18.85546875" bestFit="1" customWidth="1"/>
    <col min="38" max="38" width="18.5703125" bestFit="1" customWidth="1"/>
    <col min="39" max="39" width="21.5703125" bestFit="1" customWidth="1"/>
    <col min="40" max="40" width="20" bestFit="1" customWidth="1"/>
    <col min="41" max="41" width="6.28515625" bestFit="1" customWidth="1"/>
    <col min="42" max="42" width="15.42578125" bestFit="1" customWidth="1"/>
    <col min="43" max="43" width="21.5703125" bestFit="1" customWidth="1"/>
    <col min="44" max="44" width="32.5703125" bestFit="1" customWidth="1"/>
    <col min="45" max="45" width="27.42578125" bestFit="1" customWidth="1"/>
    <col min="46" max="46" width="29.85546875" bestFit="1" customWidth="1"/>
    <col min="47" max="47" width="28" bestFit="1" customWidth="1"/>
    <col min="48" max="48" width="22" bestFit="1" customWidth="1"/>
    <col min="49" max="49" width="18.85546875" bestFit="1" customWidth="1"/>
    <col min="50" max="50" width="28.5703125" bestFit="1" customWidth="1"/>
    <col min="51" max="51" width="31.28515625" bestFit="1" customWidth="1"/>
    <col min="52" max="52" width="10.140625" bestFit="1" customWidth="1"/>
    <col min="53" max="53" width="18.140625" bestFit="1" customWidth="1"/>
    <col min="54" max="54" width="40.140625" bestFit="1" customWidth="1"/>
    <col min="55" max="55" width="40" bestFit="1" customWidth="1"/>
    <col min="56" max="56" width="30.7109375" bestFit="1" customWidth="1"/>
    <col min="57" max="57" width="14.5703125" bestFit="1" customWidth="1"/>
    <col min="58" max="58" width="9.28515625" bestFit="1" customWidth="1"/>
    <col min="59" max="59" width="16.28515625" bestFit="1" customWidth="1"/>
    <col min="60" max="60" width="32.42578125" bestFit="1" customWidth="1"/>
    <col min="61" max="61" width="18.7109375" bestFit="1" customWidth="1"/>
    <col min="62" max="62" width="14" bestFit="1" customWidth="1"/>
    <col min="63" max="63" width="34" bestFit="1" customWidth="1"/>
    <col min="64" max="64" width="5.42578125" bestFit="1" customWidth="1"/>
    <col min="65" max="65" width="23.85546875" bestFit="1" customWidth="1"/>
    <col min="66" max="66" width="26.140625" bestFit="1" customWidth="1"/>
    <col min="67" max="67" width="23.28515625" bestFit="1" customWidth="1"/>
    <col min="68" max="68" width="49.42578125" bestFit="1" customWidth="1"/>
    <col min="69" max="69" width="35.7109375" bestFit="1" customWidth="1"/>
    <col min="70" max="70" width="19.85546875" bestFit="1" customWidth="1"/>
    <col min="71" max="71" width="34.42578125" bestFit="1" customWidth="1"/>
    <col min="72" max="72" width="14.85546875" bestFit="1" customWidth="1"/>
    <col min="73" max="73" width="12.140625" bestFit="1" customWidth="1"/>
    <col min="74" max="74" width="19.5703125" bestFit="1" customWidth="1"/>
    <col min="75" max="75" width="26.140625" bestFit="1" customWidth="1"/>
    <col min="76" max="76" width="39" bestFit="1" customWidth="1"/>
    <col min="77" max="77" width="13.42578125" bestFit="1" customWidth="1"/>
    <col min="78" max="78" width="14.5703125" bestFit="1" customWidth="1"/>
    <col min="79" max="79" width="27.5703125" bestFit="1" customWidth="1"/>
    <col min="80" max="80" width="19.85546875" bestFit="1" customWidth="1"/>
    <col min="81" max="81" width="15.85546875" bestFit="1" customWidth="1"/>
    <col min="82" max="82" width="15.5703125" bestFit="1" customWidth="1"/>
    <col min="83" max="83" width="12.28515625" bestFit="1" customWidth="1"/>
    <col min="84" max="84" width="21" bestFit="1" customWidth="1"/>
    <col min="85" max="85" width="27.42578125" bestFit="1" customWidth="1"/>
    <col min="86" max="86" width="15.7109375" bestFit="1" customWidth="1"/>
    <col min="87" max="87" width="17.42578125" bestFit="1" customWidth="1"/>
    <col min="88" max="88" width="13.140625" bestFit="1" customWidth="1"/>
    <col min="89" max="89" width="28.28515625" bestFit="1" customWidth="1"/>
    <col min="90" max="90" width="27.7109375" bestFit="1" customWidth="1"/>
    <col min="91" max="91" width="20.28515625" bestFit="1" customWidth="1"/>
    <col min="92" max="92" width="19.42578125" bestFit="1" customWidth="1"/>
    <col min="93" max="93" width="11.28515625" bestFit="1" customWidth="1"/>
    <col min="94" max="94" width="18.85546875" bestFit="1" customWidth="1"/>
    <col min="95" max="95" width="19" bestFit="1" customWidth="1"/>
    <col min="96" max="96" width="18.5703125" bestFit="1" customWidth="1"/>
    <col min="97" max="97" width="21.5703125" bestFit="1" customWidth="1"/>
    <col min="98" max="98" width="20" bestFit="1" customWidth="1"/>
    <col min="99" max="99" width="6.28515625" bestFit="1" customWidth="1"/>
    <col min="100" max="100" width="15.42578125" bestFit="1" customWidth="1"/>
    <col min="101" max="101" width="21.5703125" bestFit="1" customWidth="1"/>
    <col min="102" max="102" width="23.42578125" bestFit="1" customWidth="1"/>
    <col min="103" max="103" width="32.5703125" bestFit="1" customWidth="1"/>
    <col min="104" max="104" width="27.42578125" bestFit="1" customWidth="1"/>
    <col min="105" max="105" width="29.85546875" bestFit="1" customWidth="1"/>
    <col min="106" max="106" width="28" bestFit="1" customWidth="1"/>
    <col min="107" max="107" width="22" bestFit="1" customWidth="1"/>
    <col min="108" max="108" width="18.85546875" bestFit="1" customWidth="1"/>
    <col min="109" max="109" width="28.5703125" bestFit="1" customWidth="1"/>
    <col min="110" max="110" width="31" bestFit="1" customWidth="1"/>
    <col min="111" max="111" width="31.28515625" bestFit="1" customWidth="1"/>
    <col min="112" max="112" width="10.140625" bestFit="1" customWidth="1"/>
    <col min="113" max="113" width="18.140625" bestFit="1" customWidth="1"/>
    <col min="114" max="114" width="39" bestFit="1" customWidth="1"/>
    <col min="115" max="115" width="24.140625" bestFit="1" customWidth="1"/>
    <col min="116" max="116" width="40.140625" bestFit="1" customWidth="1"/>
    <col min="117" max="117" width="40" bestFit="1" customWidth="1"/>
    <col min="118" max="118" width="30.7109375" bestFit="1" customWidth="1"/>
    <col min="119" max="119" width="14.5703125" bestFit="1" customWidth="1"/>
    <col min="120" max="120" width="8.85546875" bestFit="1" customWidth="1"/>
    <col min="121" max="121" width="16.28515625" bestFit="1" customWidth="1"/>
    <col min="122" max="122" width="14" bestFit="1" customWidth="1"/>
    <col min="123" max="123" width="34" bestFit="1" customWidth="1"/>
    <col min="124" max="124" width="5.42578125" bestFit="1" customWidth="1"/>
    <col min="125" max="125" width="23.85546875" bestFit="1" customWidth="1"/>
    <col min="126" max="126" width="23.28515625" bestFit="1" customWidth="1"/>
    <col min="127" max="127" width="19.85546875" bestFit="1" customWidth="1"/>
    <col min="128" max="128" width="34.42578125" bestFit="1" customWidth="1"/>
    <col min="129" max="129" width="19.5703125" bestFit="1" customWidth="1"/>
    <col min="130" max="130" width="26.140625" bestFit="1" customWidth="1"/>
    <col min="131" max="131" width="13.42578125" bestFit="1" customWidth="1"/>
    <col min="132" max="132" width="14.5703125" bestFit="1" customWidth="1"/>
    <col min="133" max="133" width="19.85546875" bestFit="1" customWidth="1"/>
    <col min="134" max="134" width="15.85546875" bestFit="1" customWidth="1"/>
    <col min="135" max="135" width="12.28515625" bestFit="1" customWidth="1"/>
    <col min="136" max="136" width="21" bestFit="1" customWidth="1"/>
    <col min="137" max="137" width="15.7109375" bestFit="1" customWidth="1"/>
    <col min="138" max="138" width="17.42578125" bestFit="1" customWidth="1"/>
    <col min="139" max="139" width="13.140625" bestFit="1" customWidth="1"/>
    <col min="140" max="140" width="28.28515625" bestFit="1" customWidth="1"/>
    <col min="141" max="141" width="27.7109375" bestFit="1" customWidth="1"/>
    <col min="142" max="142" width="20.28515625" bestFit="1" customWidth="1"/>
    <col min="143" max="143" width="19.42578125" bestFit="1" customWidth="1"/>
    <col min="144" max="144" width="18.5703125" bestFit="1" customWidth="1"/>
    <col min="145" max="145" width="21.5703125" bestFit="1" customWidth="1"/>
    <col min="146" max="146" width="6.28515625" bestFit="1" customWidth="1"/>
    <col min="147" max="147" width="21.5703125" bestFit="1" customWidth="1"/>
    <col min="148" max="148" width="32.5703125" bestFit="1" customWidth="1"/>
    <col min="149" max="149" width="27.42578125" bestFit="1" customWidth="1"/>
    <col min="150" max="150" width="29.85546875" bestFit="1" customWidth="1"/>
    <col min="151" max="151" width="28" bestFit="1" customWidth="1"/>
    <col min="152" max="152" width="28.5703125" bestFit="1" customWidth="1"/>
    <col min="153" max="153" width="31.28515625" bestFit="1" customWidth="1"/>
    <col min="154" max="154" width="10.140625" bestFit="1" customWidth="1"/>
    <col min="155" max="155" width="14.5703125" bestFit="1" customWidth="1"/>
    <col min="156" max="156" width="9.28515625" bestFit="1" customWidth="1"/>
    <col min="157" max="157" width="16.28515625" bestFit="1" customWidth="1"/>
    <col min="158" max="158" width="32.42578125" bestFit="1" customWidth="1"/>
    <col min="159" max="159" width="18.7109375" bestFit="1" customWidth="1"/>
    <col min="160" max="160" width="14" bestFit="1" customWidth="1"/>
    <col min="161" max="161" width="34" bestFit="1" customWidth="1"/>
    <col min="162" max="162" width="5.42578125" bestFit="1" customWidth="1"/>
    <col min="163" max="163" width="23.85546875" bestFit="1" customWidth="1"/>
    <col min="164" max="164" width="27.42578125" bestFit="1" customWidth="1"/>
    <col min="165" max="165" width="31.42578125" bestFit="1" customWidth="1"/>
    <col min="166" max="166" width="22.140625" bestFit="1" customWidth="1"/>
    <col min="167" max="167" width="35.7109375" bestFit="1" customWidth="1"/>
    <col min="168" max="168" width="19.85546875" bestFit="1" customWidth="1"/>
    <col min="169" max="169" width="14.85546875" bestFit="1" customWidth="1"/>
    <col min="170" max="170" width="19.5703125" bestFit="1" customWidth="1"/>
    <col min="171" max="171" width="26.140625" bestFit="1" customWidth="1"/>
    <col min="172" max="172" width="13.42578125" bestFit="1" customWidth="1"/>
    <col min="173" max="173" width="14.5703125" bestFit="1" customWidth="1"/>
    <col min="174" max="174" width="20.42578125" bestFit="1" customWidth="1"/>
    <col min="175" max="175" width="19.85546875" bestFit="1" customWidth="1"/>
    <col min="176" max="176" width="15.85546875" bestFit="1" customWidth="1"/>
    <col min="177" max="177" width="15.5703125" bestFit="1" customWidth="1"/>
    <col min="178" max="178" width="21" bestFit="1" customWidth="1"/>
    <col min="179" max="179" width="15.7109375" bestFit="1" customWidth="1"/>
    <col min="180" max="180" width="17.42578125" bestFit="1" customWidth="1"/>
    <col min="181" max="181" width="13.140625" bestFit="1" customWidth="1"/>
    <col min="182" max="182" width="28.28515625" bestFit="1" customWidth="1"/>
    <col min="183" max="183" width="27.7109375" bestFit="1" customWidth="1"/>
    <col min="184" max="184" width="20.28515625" bestFit="1" customWidth="1"/>
    <col min="185" max="185" width="19.42578125" bestFit="1" customWidth="1"/>
    <col min="186" max="186" width="21.5703125" bestFit="1" customWidth="1"/>
    <col min="187" max="187" width="20" bestFit="1" customWidth="1"/>
    <col min="188" max="188" width="6.28515625" bestFit="1" customWidth="1"/>
    <col min="189" max="189" width="21.5703125" bestFit="1" customWidth="1"/>
    <col min="190" max="190" width="37.7109375" bestFit="1" customWidth="1"/>
    <col min="191" max="191" width="32.5703125" bestFit="1" customWidth="1"/>
    <col min="192" max="192" width="27.42578125" bestFit="1" customWidth="1"/>
    <col min="193" max="193" width="29.85546875" bestFit="1" customWidth="1"/>
    <col min="194" max="194" width="28" bestFit="1" customWidth="1"/>
    <col min="195" max="195" width="28.5703125" bestFit="1" customWidth="1"/>
    <col min="196" max="196" width="31.28515625" bestFit="1" customWidth="1"/>
    <col min="197" max="197" width="10.140625" bestFit="1" customWidth="1"/>
    <col min="198" max="198" width="18.140625" bestFit="1" customWidth="1"/>
    <col min="199" max="199" width="30.7109375" bestFit="1" customWidth="1"/>
    <col min="200" max="200" width="14.5703125" bestFit="1" customWidth="1"/>
    <col min="201" max="201" width="8.7109375" bestFit="1" customWidth="1"/>
    <col min="202" max="202" width="16.28515625" bestFit="1" customWidth="1"/>
    <col min="203" max="203" width="32.42578125" bestFit="1" customWidth="1"/>
    <col min="204" max="204" width="18.7109375" bestFit="1" customWidth="1"/>
    <col min="205" max="205" width="14" bestFit="1" customWidth="1"/>
    <col min="206" max="206" width="34" bestFit="1" customWidth="1"/>
    <col min="207" max="207" width="5.42578125" bestFit="1" customWidth="1"/>
    <col min="208" max="208" width="23.85546875" bestFit="1" customWidth="1"/>
    <col min="209" max="209" width="26.140625" bestFit="1" customWidth="1"/>
    <col min="210" max="210" width="23.28515625" bestFit="1" customWidth="1"/>
    <col min="211" max="211" width="49.42578125" bestFit="1" customWidth="1"/>
    <col min="212" max="212" width="35.7109375" bestFit="1" customWidth="1"/>
    <col min="213" max="213" width="19.85546875" bestFit="1" customWidth="1"/>
    <col min="214" max="214" width="34.42578125" bestFit="1" customWidth="1"/>
    <col min="215" max="215" width="14.85546875" bestFit="1" customWidth="1"/>
    <col min="216" max="216" width="12.140625" bestFit="1" customWidth="1"/>
    <col min="217" max="217" width="19.5703125" bestFit="1" customWidth="1"/>
    <col min="218" max="218" width="26.140625" bestFit="1" customWidth="1"/>
    <col min="219" max="219" width="39" bestFit="1" customWidth="1"/>
    <col min="220" max="220" width="13.42578125" bestFit="1" customWidth="1"/>
    <col min="221" max="221" width="14.5703125" bestFit="1" customWidth="1"/>
    <col min="222" max="222" width="27.5703125" bestFit="1" customWidth="1"/>
    <col min="223" max="223" width="19.85546875" bestFit="1" customWidth="1"/>
    <col min="224" max="224" width="15.85546875" bestFit="1" customWidth="1"/>
    <col min="225" max="225" width="15.5703125" bestFit="1" customWidth="1"/>
    <col min="226" max="226" width="12.28515625" bestFit="1" customWidth="1"/>
    <col min="227" max="227" width="21" bestFit="1" customWidth="1"/>
    <col min="228" max="228" width="27.42578125" bestFit="1" customWidth="1"/>
    <col min="229" max="229" width="15.7109375" bestFit="1" customWidth="1"/>
    <col min="230" max="230" width="17.42578125" bestFit="1" customWidth="1"/>
    <col min="231" max="231" width="13.140625" bestFit="1" customWidth="1"/>
    <col min="232" max="232" width="28.28515625" bestFit="1" customWidth="1"/>
    <col min="233" max="233" width="27.7109375" bestFit="1" customWidth="1"/>
    <col min="234" max="234" width="20.28515625" bestFit="1" customWidth="1"/>
    <col min="235" max="235" width="19.42578125" bestFit="1" customWidth="1"/>
    <col min="236" max="236" width="11.28515625" bestFit="1" customWidth="1"/>
    <col min="237" max="237" width="18.85546875" bestFit="1" customWidth="1"/>
    <col min="238" max="238" width="19" bestFit="1" customWidth="1"/>
    <col min="239" max="239" width="18.5703125" bestFit="1" customWidth="1"/>
    <col min="240" max="240" width="21.5703125" bestFit="1" customWidth="1"/>
    <col min="241" max="241" width="20" bestFit="1" customWidth="1"/>
    <col min="242" max="242" width="6.28515625" bestFit="1" customWidth="1"/>
    <col min="243" max="243" width="15.42578125" bestFit="1" customWidth="1"/>
    <col min="244" max="244" width="21.5703125" bestFit="1" customWidth="1"/>
    <col min="245" max="245" width="23.42578125" bestFit="1" customWidth="1"/>
    <col min="246" max="246" width="32.5703125" bestFit="1" customWidth="1"/>
    <col min="247" max="247" width="27.42578125" bestFit="1" customWidth="1"/>
    <col min="248" max="248" width="29.85546875" bestFit="1" customWidth="1"/>
    <col min="249" max="249" width="28" bestFit="1" customWidth="1"/>
    <col min="250" max="250" width="22" bestFit="1" customWidth="1"/>
    <col min="251" max="251" width="18.85546875" bestFit="1" customWidth="1"/>
    <col min="252" max="252" width="28.5703125" bestFit="1" customWidth="1"/>
    <col min="253" max="253" width="31" bestFit="1" customWidth="1"/>
    <col min="254" max="254" width="31.28515625" bestFit="1" customWidth="1"/>
    <col min="255" max="255" width="10.140625" bestFit="1" customWidth="1"/>
    <col min="256" max="256" width="18.140625" bestFit="1" customWidth="1"/>
    <col min="257" max="257" width="39" bestFit="1" customWidth="1"/>
    <col min="258" max="258" width="24.140625" bestFit="1" customWidth="1"/>
    <col min="259" max="259" width="40.140625" bestFit="1" customWidth="1"/>
    <col min="260" max="260" width="40" bestFit="1" customWidth="1"/>
    <col min="261" max="261" width="30.7109375" bestFit="1" customWidth="1"/>
    <col min="262" max="262" width="14.5703125" bestFit="1" customWidth="1"/>
    <col min="264" max="264" width="16.28515625" bestFit="1" customWidth="1"/>
    <col min="265" max="265" width="32.42578125" bestFit="1" customWidth="1"/>
    <col min="266" max="266" width="18.7109375" bestFit="1" customWidth="1"/>
    <col min="267" max="267" width="14" bestFit="1" customWidth="1"/>
    <col min="268" max="268" width="34" bestFit="1" customWidth="1"/>
    <col min="269" max="269" width="5.42578125" bestFit="1" customWidth="1"/>
    <col min="270" max="270" width="23.85546875" bestFit="1" customWidth="1"/>
    <col min="271" max="271" width="26.140625" bestFit="1" customWidth="1"/>
    <col min="272" max="272" width="23.28515625" bestFit="1" customWidth="1"/>
    <col min="273" max="273" width="49.42578125" bestFit="1" customWidth="1"/>
    <col min="274" max="274" width="35.7109375" bestFit="1" customWidth="1"/>
    <col min="275" max="275" width="19.85546875" bestFit="1" customWidth="1"/>
    <col min="276" max="276" width="34.42578125" bestFit="1" customWidth="1"/>
    <col min="277" max="277" width="14.85546875" bestFit="1" customWidth="1"/>
    <col min="278" max="278" width="12.140625" bestFit="1" customWidth="1"/>
    <col min="279" max="279" width="19.5703125" bestFit="1" customWidth="1"/>
    <col min="280" max="280" width="26.140625" bestFit="1" customWidth="1"/>
    <col min="281" max="281" width="39" bestFit="1" customWidth="1"/>
    <col min="282" max="282" width="13.42578125" bestFit="1" customWidth="1"/>
    <col min="283" max="283" width="14.5703125" bestFit="1" customWidth="1"/>
    <col min="284" max="284" width="27.5703125" bestFit="1" customWidth="1"/>
    <col min="285" max="285" width="19.85546875" bestFit="1" customWidth="1"/>
    <col min="286" max="286" width="15.85546875" bestFit="1" customWidth="1"/>
    <col min="287" max="287" width="15.5703125" bestFit="1" customWidth="1"/>
    <col min="288" max="288" width="12.28515625" bestFit="1" customWidth="1"/>
    <col min="289" max="289" width="21" bestFit="1" customWidth="1"/>
    <col min="290" max="290" width="27.42578125" bestFit="1" customWidth="1"/>
    <col min="291" max="291" width="15.7109375" bestFit="1" customWidth="1"/>
    <col min="292" max="292" width="17.42578125" bestFit="1" customWidth="1"/>
    <col min="293" max="293" width="13.140625" bestFit="1" customWidth="1"/>
    <col min="294" max="294" width="28.28515625" bestFit="1" customWidth="1"/>
    <col min="295" max="295" width="27.7109375" bestFit="1" customWidth="1"/>
    <col min="296" max="296" width="20.28515625" bestFit="1" customWidth="1"/>
    <col min="297" max="297" width="19.42578125" bestFit="1" customWidth="1"/>
    <col min="298" max="298" width="11.28515625" bestFit="1" customWidth="1"/>
    <col min="299" max="299" width="18.85546875" bestFit="1" customWidth="1"/>
    <col min="300" max="300" width="19" bestFit="1" customWidth="1"/>
    <col min="301" max="301" width="18.5703125" bestFit="1" customWidth="1"/>
    <col min="302" max="302" width="21.5703125" bestFit="1" customWidth="1"/>
    <col min="303" max="303" width="20" bestFit="1" customWidth="1"/>
    <col min="304" max="304" width="6.28515625" bestFit="1" customWidth="1"/>
    <col min="305" max="305" width="15.42578125" bestFit="1" customWidth="1"/>
    <col min="306" max="306" width="21.5703125" bestFit="1" customWidth="1"/>
    <col min="307" max="307" width="23.42578125" bestFit="1" customWidth="1"/>
    <col min="308" max="308" width="32.5703125" bestFit="1" customWidth="1"/>
    <col min="309" max="309" width="27.42578125" bestFit="1" customWidth="1"/>
    <col min="310" max="310" width="29.85546875" bestFit="1" customWidth="1"/>
    <col min="311" max="311" width="28" bestFit="1" customWidth="1"/>
    <col min="312" max="312" width="22" bestFit="1" customWidth="1"/>
    <col min="313" max="313" width="18.85546875" bestFit="1" customWidth="1"/>
    <col min="314" max="314" width="28.5703125" bestFit="1" customWidth="1"/>
    <col min="315" max="315" width="31" bestFit="1" customWidth="1"/>
    <col min="316" max="316" width="31.28515625" bestFit="1" customWidth="1"/>
    <col min="317" max="317" width="10.140625" bestFit="1" customWidth="1"/>
    <col min="318" max="318" width="18.140625" bestFit="1" customWidth="1"/>
    <col min="319" max="319" width="39" bestFit="1" customWidth="1"/>
    <col min="320" max="320" width="24.140625" bestFit="1" customWidth="1"/>
    <col min="321" max="321" width="40.140625" bestFit="1" customWidth="1"/>
    <col min="322" max="322" width="40" bestFit="1" customWidth="1"/>
    <col min="323" max="323" width="30.7109375" bestFit="1" customWidth="1"/>
    <col min="324" max="324" width="14.5703125" bestFit="1" customWidth="1"/>
    <col min="325" max="325" width="8.42578125" bestFit="1" customWidth="1"/>
    <col min="326" max="326" width="11.28515625" bestFit="1" customWidth="1"/>
  </cols>
  <sheetData>
    <row r="5" spans="1:2" x14ac:dyDescent="0.25">
      <c r="A5" s="2" t="s">
        <v>15</v>
      </c>
      <c r="B5" s="2" t="s">
        <v>197</v>
      </c>
    </row>
    <row r="6" spans="1:2" x14ac:dyDescent="0.25">
      <c r="A6" s="2" t="s">
        <v>198</v>
      </c>
      <c r="B6" t="s">
        <v>199</v>
      </c>
    </row>
    <row r="7" spans="1:2" x14ac:dyDescent="0.25">
      <c r="A7" s="17" t="s">
        <v>199</v>
      </c>
      <c r="B7" s="4"/>
    </row>
    <row r="19" spans="1:21" x14ac:dyDescent="0.25">
      <c r="G19" s="16"/>
    </row>
    <row r="20" spans="1:21" x14ac:dyDescent="0.25">
      <c r="G20" s="16"/>
    </row>
    <row r="23" spans="1:21" x14ac:dyDescent="0.25">
      <c r="A23" s="2" t="s">
        <v>15</v>
      </c>
      <c r="B23" s="2" t="s">
        <v>197</v>
      </c>
    </row>
    <row r="24" spans="1:21" x14ac:dyDescent="0.25">
      <c r="A24" s="2" t="s">
        <v>198</v>
      </c>
      <c r="B24" t="s">
        <v>199</v>
      </c>
      <c r="D24" s="2"/>
      <c r="E24" s="2"/>
      <c r="F24" s="2"/>
      <c r="G24" s="2"/>
      <c r="H24" s="2"/>
      <c r="I24" s="2"/>
      <c r="J24" s="2"/>
      <c r="K24" s="2"/>
      <c r="L24" s="2"/>
      <c r="M24" s="2"/>
      <c r="N24" s="2"/>
      <c r="O24" s="2"/>
      <c r="P24" s="2"/>
      <c r="Q24" s="2"/>
      <c r="R24" s="2"/>
      <c r="S24" s="2"/>
      <c r="T24" s="2"/>
      <c r="U24" s="2"/>
    </row>
    <row r="25" spans="1:21" x14ac:dyDescent="0.25">
      <c r="A25" s="17" t="s">
        <v>199</v>
      </c>
      <c r="B25" s="4"/>
    </row>
    <row r="41" spans="1:21" x14ac:dyDescent="0.25">
      <c r="A41" s="2" t="s">
        <v>15</v>
      </c>
      <c r="B41" s="2" t="s">
        <v>197</v>
      </c>
    </row>
    <row r="42" spans="1:21" x14ac:dyDescent="0.25">
      <c r="A42" s="2" t="s">
        <v>198</v>
      </c>
      <c r="B42" t="s">
        <v>199</v>
      </c>
      <c r="D42" s="2"/>
      <c r="E42" s="2"/>
      <c r="F42" s="2"/>
      <c r="G42" s="2"/>
      <c r="H42" s="2"/>
      <c r="I42" s="2"/>
      <c r="J42" s="2"/>
      <c r="K42" s="2"/>
      <c r="L42" s="2"/>
      <c r="M42" s="2"/>
      <c r="N42" s="2"/>
      <c r="O42" s="2"/>
      <c r="P42" s="2"/>
      <c r="Q42" s="2"/>
      <c r="R42" s="2"/>
      <c r="S42" s="2"/>
      <c r="T42" s="2"/>
      <c r="U42" s="2"/>
    </row>
    <row r="43" spans="1:21" x14ac:dyDescent="0.25">
      <c r="A43" s="17" t="s">
        <v>199</v>
      </c>
      <c r="B43" s="4"/>
    </row>
    <row r="60" spans="1:2" x14ac:dyDescent="0.25">
      <c r="A60" s="2" t="s">
        <v>15</v>
      </c>
      <c r="B60" s="2" t="s">
        <v>197</v>
      </c>
    </row>
    <row r="61" spans="1:2" x14ac:dyDescent="0.25">
      <c r="A61" s="2" t="s">
        <v>198</v>
      </c>
      <c r="B61" t="s">
        <v>199</v>
      </c>
    </row>
    <row r="62" spans="1:2" x14ac:dyDescent="0.25">
      <c r="A62" s="17" t="s">
        <v>199</v>
      </c>
      <c r="B62" s="4"/>
    </row>
    <row r="79" spans="1:21" x14ac:dyDescent="0.25">
      <c r="A79" s="2" t="s">
        <v>15</v>
      </c>
      <c r="B79" s="2" t="s">
        <v>197</v>
      </c>
    </row>
    <row r="80" spans="1:21" x14ac:dyDescent="0.25">
      <c r="A80" s="2" t="s">
        <v>198</v>
      </c>
      <c r="B80" t="s">
        <v>199</v>
      </c>
      <c r="D80" s="2"/>
      <c r="E80" s="2"/>
      <c r="F80" s="2"/>
      <c r="G80" s="2"/>
      <c r="H80" s="2"/>
      <c r="I80" s="2"/>
      <c r="J80" s="2"/>
      <c r="K80" s="2"/>
      <c r="L80" s="2"/>
      <c r="M80" s="2"/>
      <c r="N80" s="2"/>
      <c r="O80" s="2"/>
      <c r="P80" s="2"/>
      <c r="Q80" s="2"/>
      <c r="R80" s="2"/>
      <c r="S80" s="2"/>
      <c r="T80" s="2"/>
      <c r="U80" s="2"/>
    </row>
    <row r="81" spans="1:2" x14ac:dyDescent="0.25">
      <c r="A81" s="17" t="s">
        <v>199</v>
      </c>
      <c r="B81" s="4"/>
    </row>
    <row r="98" spans="1:21" x14ac:dyDescent="0.25">
      <c r="A98" s="2" t="s">
        <v>15</v>
      </c>
      <c r="B98" s="2" t="s">
        <v>197</v>
      </c>
    </row>
    <row r="99" spans="1:21" x14ac:dyDescent="0.25">
      <c r="A99" s="2" t="s">
        <v>198</v>
      </c>
      <c r="B99" t="s">
        <v>199</v>
      </c>
      <c r="D99" s="2"/>
      <c r="E99" s="2"/>
      <c r="F99" s="2"/>
      <c r="G99" s="2"/>
      <c r="H99" s="2"/>
      <c r="I99" s="2"/>
      <c r="J99" s="2"/>
      <c r="K99" s="2"/>
      <c r="L99" s="2"/>
      <c r="M99" s="2"/>
      <c r="N99" s="2"/>
      <c r="O99" s="2"/>
      <c r="P99" s="2"/>
      <c r="Q99" s="2"/>
      <c r="R99" s="2"/>
      <c r="S99" s="2"/>
      <c r="T99" s="2"/>
      <c r="U99" s="2"/>
    </row>
    <row r="100" spans="1:21" x14ac:dyDescent="0.25">
      <c r="A100" s="17" t="s">
        <v>199</v>
      </c>
      <c r="B100" s="4"/>
    </row>
    <row r="117" spans="1:2" x14ac:dyDescent="0.25">
      <c r="A117" s="2" t="s">
        <v>15</v>
      </c>
      <c r="B117" s="2" t="s">
        <v>197</v>
      </c>
    </row>
    <row r="118" spans="1:2" x14ac:dyDescent="0.25">
      <c r="A118" s="2" t="s">
        <v>198</v>
      </c>
      <c r="B118" t="s">
        <v>199</v>
      </c>
    </row>
    <row r="119" spans="1:2" x14ac:dyDescent="0.25">
      <c r="A119" s="17" t="s">
        <v>199</v>
      </c>
      <c r="B119" s="4"/>
    </row>
    <row r="136" spans="1:2" x14ac:dyDescent="0.25">
      <c r="A136" s="2" t="s">
        <v>15</v>
      </c>
      <c r="B136" s="2" t="s">
        <v>197</v>
      </c>
    </row>
    <row r="137" spans="1:2" x14ac:dyDescent="0.25">
      <c r="A137" s="2" t="s">
        <v>198</v>
      </c>
      <c r="B137" t="s">
        <v>199</v>
      </c>
    </row>
    <row r="138" spans="1:2" x14ac:dyDescent="0.25">
      <c r="A138" s="17" t="s">
        <v>199</v>
      </c>
      <c r="B138" s="4"/>
    </row>
    <row r="155" spans="1:2" x14ac:dyDescent="0.25">
      <c r="A155" s="2" t="s">
        <v>15</v>
      </c>
      <c r="B155" s="2" t="s">
        <v>197</v>
      </c>
    </row>
    <row r="156" spans="1:2" x14ac:dyDescent="0.25">
      <c r="A156" s="2" t="s">
        <v>198</v>
      </c>
      <c r="B156" t="s">
        <v>199</v>
      </c>
    </row>
    <row r="157" spans="1:2" x14ac:dyDescent="0.25">
      <c r="A157" s="17" t="s">
        <v>199</v>
      </c>
      <c r="B157" s="4"/>
    </row>
  </sheetData>
  <customSheetViews>
    <customSheetView guid="{5D34E837-02BC-48BE-83FB-ACBC50171292}" topLeftCell="A19">
      <selection activeCell="B9" sqref="B9"/>
      <pageMargins left="0.7" right="0.7" top="0.75" bottom="0.75" header="0.3" footer="0.3"/>
      <pageSetup orientation="portrait" r:id="rId10"/>
    </customSheetView>
  </customSheetViews>
  <pageMargins left="0.7" right="0.7" top="0.75" bottom="0.75" header="0.3" footer="0.3"/>
  <pageSetup orientation="portrait" r:id="rId11"/>
  <drawing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P1622"/>
  <sheetViews>
    <sheetView showGridLines="0" zoomScaleNormal="100" workbookViewId="0">
      <pane ySplit="1" topLeftCell="A2" activePane="bottomLeft" state="frozen"/>
      <selection pane="bottomLeft" activeCell="L2" sqref="L2:N6"/>
    </sheetView>
  </sheetViews>
  <sheetFormatPr defaultColWidth="9.140625" defaultRowHeight="15" x14ac:dyDescent="0.25"/>
  <cols>
    <col min="1" max="1" width="18.42578125" style="3" customWidth="1"/>
    <col min="2" max="2" width="12.85546875" style="3" bestFit="1" customWidth="1"/>
    <col min="3" max="3" width="7" style="3" customWidth="1"/>
    <col min="4" max="4" width="9.42578125" style="5" customWidth="1"/>
    <col min="5" max="5" width="14.7109375" style="3" customWidth="1"/>
    <col min="6" max="6" width="11.5703125" style="3" customWidth="1"/>
    <col min="7" max="7" width="13.5703125" style="3" customWidth="1"/>
    <col min="8" max="8" width="16.7109375" style="3" customWidth="1"/>
    <col min="9" max="9" width="8.7109375" style="3" customWidth="1"/>
    <col min="10" max="10" width="49.140625" style="3" customWidth="1"/>
    <col min="11" max="11" width="13.42578125" style="3" customWidth="1"/>
    <col min="12" max="12" width="16" style="15" customWidth="1"/>
    <col min="13" max="13" width="12.85546875" style="3" customWidth="1"/>
    <col min="14" max="14" width="10.7109375" style="3" customWidth="1"/>
    <col min="15" max="15" width="12.42578125" style="3" bestFit="1" customWidth="1"/>
    <col min="16" max="16" width="20.5703125" style="3" bestFit="1" customWidth="1"/>
    <col min="17" max="16384" width="9.140625" style="1"/>
  </cols>
  <sheetData>
    <row r="1" spans="1:16" ht="15" customHeight="1" x14ac:dyDescent="0.2">
      <c r="A1" s="18" t="s">
        <v>2</v>
      </c>
      <c r="B1" s="18" t="s">
        <v>13</v>
      </c>
      <c r="C1" s="18" t="s">
        <v>3</v>
      </c>
      <c r="D1" s="19" t="s">
        <v>1</v>
      </c>
      <c r="E1" s="18" t="s">
        <v>0</v>
      </c>
      <c r="F1" s="18" t="s">
        <v>4</v>
      </c>
      <c r="G1" s="18" t="s">
        <v>5</v>
      </c>
      <c r="H1" s="18" t="s">
        <v>6</v>
      </c>
      <c r="I1" s="18" t="s">
        <v>7</v>
      </c>
      <c r="J1" s="18" t="s">
        <v>8</v>
      </c>
      <c r="K1" s="18" t="s">
        <v>9</v>
      </c>
      <c r="L1" s="20" t="s">
        <v>10</v>
      </c>
      <c r="M1" s="18" t="s">
        <v>11</v>
      </c>
      <c r="N1" s="18" t="s">
        <v>12</v>
      </c>
      <c r="O1" s="18" t="s">
        <v>14</v>
      </c>
      <c r="P1" s="18" t="s">
        <v>16</v>
      </c>
    </row>
    <row r="2" spans="1:16" s="13" customFormat="1" ht="15" customHeight="1" x14ac:dyDescent="0.2">
      <c r="A2" s="7" t="s">
        <v>17</v>
      </c>
      <c r="B2" s="7" t="s">
        <v>200</v>
      </c>
      <c r="C2" s="7" t="s">
        <v>18</v>
      </c>
      <c r="D2" s="8">
        <v>44501</v>
      </c>
      <c r="E2" s="7">
        <f t="shared" ref="E2:E6" si="0">ROUNDUP(MONTH(D2)/3,0)</f>
        <v>4</v>
      </c>
      <c r="F2" s="7" t="s">
        <v>19</v>
      </c>
      <c r="G2" s="7" t="s">
        <v>20</v>
      </c>
      <c r="H2" s="7" t="s">
        <v>21</v>
      </c>
      <c r="I2" s="9">
        <v>-1</v>
      </c>
      <c r="J2" s="7" t="s">
        <v>22</v>
      </c>
      <c r="K2" s="52">
        <v>48</v>
      </c>
      <c r="L2" s="53">
        <f>IFERROR(AVERAGEIFS(TRACKER!M:M,TRACKER!A:A,MONTH(DATA!$D2)),0)*24</f>
        <v>0</v>
      </c>
      <c r="M2" s="10">
        <f t="shared" ref="M2:M31" si="1">IF(L2="","",IFERROR(IF($I:$I=1,MIN(1.2,L2/K2),IF(L2=0,1,IFERROR(MIN(1.2,K2/L2),""))),""))</f>
        <v>1</v>
      </c>
      <c r="N2" s="7" t="str">
        <f t="shared" ref="N2:N31" si="2">IF(L2="","",IF(M2&gt;=1,"Met","Not Met"))</f>
        <v>Met</v>
      </c>
      <c r="O2" s="7"/>
      <c r="P2" s="7" t="b">
        <f t="shared" ref="P2:P6" ca="1" si="3">D2&gt;=EOMONTH(TODAY(),-4)+1</f>
        <v>1</v>
      </c>
    </row>
    <row r="3" spans="1:16" s="13" customFormat="1" ht="15" customHeight="1" x14ac:dyDescent="0.2">
      <c r="A3" s="7" t="s">
        <v>17</v>
      </c>
      <c r="B3" s="7" t="s">
        <v>200</v>
      </c>
      <c r="C3" s="7" t="s">
        <v>23</v>
      </c>
      <c r="D3" s="8">
        <v>44501</v>
      </c>
      <c r="E3" s="7">
        <f t="shared" si="0"/>
        <v>4</v>
      </c>
      <c r="F3" s="7" t="s">
        <v>24</v>
      </c>
      <c r="G3" s="7" t="s">
        <v>20</v>
      </c>
      <c r="H3" s="7" t="s">
        <v>25</v>
      </c>
      <c r="I3" s="9">
        <v>1</v>
      </c>
      <c r="J3" s="7" t="s">
        <v>26</v>
      </c>
      <c r="K3" s="10">
        <v>0.95</v>
      </c>
      <c r="L3" s="50">
        <f>IFERROR((COUNTIFS(TRACKER!$A:$A,MONTH($D3),TRACKER!$Q:$Q,"Closed",TRACKER!$O:$O,2)+
 COUNTIFS(TRACKER!$A:$A,MONTH($D3),TRACKER!$Q:$Q,"Closed",TRACKER!$O:$O,3)+
 COUNTIFS(TRACKER!$A:$A,MONTH($D3),TRACKER!$Q:$Q,"Closed",TRACKER!$O:$O,4))/COUNTIFS(TRACKER!$A:$A,MONTH($D3)),0)</f>
        <v>0</v>
      </c>
      <c r="M3" s="10">
        <f t="shared" si="1"/>
        <v>0</v>
      </c>
      <c r="N3" s="7" t="str">
        <f t="shared" si="2"/>
        <v>Not Met</v>
      </c>
      <c r="O3" s="7"/>
      <c r="P3" s="7" t="b">
        <f t="shared" ca="1" si="3"/>
        <v>1</v>
      </c>
    </row>
    <row r="4" spans="1:16" s="13" customFormat="1" ht="15" customHeight="1" x14ac:dyDescent="0.2">
      <c r="A4" s="7" t="s">
        <v>17</v>
      </c>
      <c r="B4" s="7" t="s">
        <v>200</v>
      </c>
      <c r="C4" s="7" t="s">
        <v>23</v>
      </c>
      <c r="D4" s="8">
        <v>44501</v>
      </c>
      <c r="E4" s="7">
        <f t="shared" si="0"/>
        <v>4</v>
      </c>
      <c r="F4" s="7" t="s">
        <v>19</v>
      </c>
      <c r="G4" s="7" t="s">
        <v>20</v>
      </c>
      <c r="H4" s="7" t="s">
        <v>25</v>
      </c>
      <c r="I4" s="9">
        <v>1</v>
      </c>
      <c r="J4" s="7" t="s">
        <v>27</v>
      </c>
      <c r="K4" s="10">
        <v>1</v>
      </c>
      <c r="L4" s="51">
        <v>1</v>
      </c>
      <c r="M4" s="10">
        <f t="shared" si="1"/>
        <v>1</v>
      </c>
      <c r="N4" s="7" t="str">
        <f t="shared" si="2"/>
        <v>Met</v>
      </c>
      <c r="O4" s="7" t="b">
        <v>1</v>
      </c>
      <c r="P4" s="7" t="b">
        <f t="shared" ca="1" si="3"/>
        <v>1</v>
      </c>
    </row>
    <row r="5" spans="1:16" s="13" customFormat="1" ht="15" customHeight="1" x14ac:dyDescent="0.2">
      <c r="A5" s="7" t="s">
        <v>17</v>
      </c>
      <c r="B5" s="7" t="s">
        <v>200</v>
      </c>
      <c r="C5" s="7" t="s">
        <v>18</v>
      </c>
      <c r="D5" s="8">
        <v>44501</v>
      </c>
      <c r="E5" s="7">
        <f t="shared" si="0"/>
        <v>4</v>
      </c>
      <c r="F5" s="7" t="s">
        <v>19</v>
      </c>
      <c r="G5" s="7" t="s">
        <v>20</v>
      </c>
      <c r="H5" s="7" t="s">
        <v>25</v>
      </c>
      <c r="I5" s="9">
        <v>1</v>
      </c>
      <c r="J5" s="7" t="s">
        <v>28</v>
      </c>
      <c r="K5" s="10">
        <v>0.95</v>
      </c>
      <c r="L5" s="51" t="str">
        <f>IFERROR(COUNTIFS(TRACKER!$A:$A,MONTH(DATA!$D5),TRACKER!$V:$V,1)/COUNTIFS(TRACKER!$A:$A,MONTH(DATA!$D5)),"")</f>
        <v/>
      </c>
      <c r="M5" s="10" t="str">
        <f t="shared" si="1"/>
        <v/>
      </c>
      <c r="N5" s="7" t="str">
        <f t="shared" si="2"/>
        <v/>
      </c>
      <c r="O5" s="7"/>
      <c r="P5" s="7" t="b">
        <f t="shared" ca="1" si="3"/>
        <v>1</v>
      </c>
    </row>
    <row r="6" spans="1:16" s="13" customFormat="1" ht="15" customHeight="1" x14ac:dyDescent="0.2">
      <c r="A6" s="7" t="s">
        <v>17</v>
      </c>
      <c r="B6" s="7" t="s">
        <v>200</v>
      </c>
      <c r="C6" s="7" t="s">
        <v>23</v>
      </c>
      <c r="D6" s="8">
        <v>44501</v>
      </c>
      <c r="E6" s="7">
        <f t="shared" si="0"/>
        <v>4</v>
      </c>
      <c r="F6" s="11" t="s">
        <v>19</v>
      </c>
      <c r="G6" s="7" t="s">
        <v>20</v>
      </c>
      <c r="H6" s="7" t="s">
        <v>25</v>
      </c>
      <c r="I6" s="9">
        <v>1</v>
      </c>
      <c r="J6" s="7" t="s">
        <v>29</v>
      </c>
      <c r="K6" s="10">
        <v>0.999</v>
      </c>
      <c r="L6" s="41">
        <v>1</v>
      </c>
      <c r="M6" s="10">
        <f t="shared" si="1"/>
        <v>1.0010010010010011</v>
      </c>
      <c r="N6" s="7" t="str">
        <f t="shared" si="2"/>
        <v>Met</v>
      </c>
      <c r="O6" s="7" t="b">
        <v>1</v>
      </c>
      <c r="P6" s="7" t="b">
        <f t="shared" ca="1" si="3"/>
        <v>1</v>
      </c>
    </row>
    <row r="7" spans="1:16" s="13" customFormat="1" ht="15" customHeight="1" x14ac:dyDescent="0.2">
      <c r="A7" s="35" t="s">
        <v>17</v>
      </c>
      <c r="B7" s="35" t="s">
        <v>103</v>
      </c>
      <c r="C7" s="35" t="s">
        <v>18</v>
      </c>
      <c r="D7" s="36">
        <v>44044</v>
      </c>
      <c r="E7" s="35">
        <f t="shared" ref="E7:E31" si="4">ROUNDUP(MONTH(D7)/3,0)</f>
        <v>3</v>
      </c>
      <c r="F7" s="35" t="s">
        <v>19</v>
      </c>
      <c r="G7" s="35" t="s">
        <v>20</v>
      </c>
      <c r="H7" s="35" t="s">
        <v>21</v>
      </c>
      <c r="I7" s="37">
        <v>-1</v>
      </c>
      <c r="J7" s="35" t="s">
        <v>22</v>
      </c>
      <c r="K7" s="40">
        <v>48</v>
      </c>
      <c r="L7" s="49"/>
      <c r="M7" s="38" t="str">
        <f t="shared" si="1"/>
        <v/>
      </c>
      <c r="N7" s="35" t="str">
        <f t="shared" si="2"/>
        <v/>
      </c>
      <c r="O7" s="35"/>
      <c r="P7" s="35" t="b">
        <f t="shared" ref="P7:P31" ca="1" si="5">D7&gt;=EOMONTH(TODAY(),-4)+1</f>
        <v>0</v>
      </c>
    </row>
    <row r="8" spans="1:16" s="13" customFormat="1" ht="15" customHeight="1" x14ac:dyDescent="0.2">
      <c r="A8" s="35" t="s">
        <v>17</v>
      </c>
      <c r="B8" s="35" t="s">
        <v>103</v>
      </c>
      <c r="C8" s="35" t="s">
        <v>23</v>
      </c>
      <c r="D8" s="36">
        <v>44044</v>
      </c>
      <c r="E8" s="35">
        <f t="shared" si="4"/>
        <v>3</v>
      </c>
      <c r="F8" s="35" t="s">
        <v>24</v>
      </c>
      <c r="G8" s="35" t="s">
        <v>20</v>
      </c>
      <c r="H8" s="35" t="s">
        <v>25</v>
      </c>
      <c r="I8" s="37">
        <v>1</v>
      </c>
      <c r="J8" s="35" t="s">
        <v>26</v>
      </c>
      <c r="K8" s="38">
        <v>0.85</v>
      </c>
      <c r="L8" s="50"/>
      <c r="M8" s="38" t="str">
        <f t="shared" si="1"/>
        <v/>
      </c>
      <c r="N8" s="35" t="str">
        <f t="shared" si="2"/>
        <v/>
      </c>
      <c r="O8" s="35"/>
      <c r="P8" s="35" t="b">
        <f t="shared" ca="1" si="5"/>
        <v>0</v>
      </c>
    </row>
    <row r="9" spans="1:16" s="13" customFormat="1" ht="15" customHeight="1" x14ac:dyDescent="0.2">
      <c r="A9" s="35" t="s">
        <v>17</v>
      </c>
      <c r="B9" s="35" t="s">
        <v>103</v>
      </c>
      <c r="C9" s="35" t="s">
        <v>23</v>
      </c>
      <c r="D9" s="36">
        <v>44044</v>
      </c>
      <c r="E9" s="35">
        <f t="shared" si="4"/>
        <v>3</v>
      </c>
      <c r="F9" s="39" t="s">
        <v>19</v>
      </c>
      <c r="G9" s="35" t="s">
        <v>20</v>
      </c>
      <c r="H9" s="35" t="s">
        <v>25</v>
      </c>
      <c r="I9" s="37">
        <v>1</v>
      </c>
      <c r="J9" s="35" t="s">
        <v>27</v>
      </c>
      <c r="K9" s="38">
        <v>1</v>
      </c>
      <c r="L9" s="51"/>
      <c r="M9" s="38" t="str">
        <f t="shared" si="1"/>
        <v/>
      </c>
      <c r="N9" s="35" t="str">
        <f t="shared" si="2"/>
        <v/>
      </c>
      <c r="O9" s="35" t="b">
        <v>1</v>
      </c>
      <c r="P9" s="35" t="b">
        <f t="shared" ca="1" si="5"/>
        <v>0</v>
      </c>
    </row>
    <row r="10" spans="1:16" s="13" customFormat="1" ht="15" customHeight="1" x14ac:dyDescent="0.2">
      <c r="A10" s="35" t="s">
        <v>17</v>
      </c>
      <c r="B10" s="35" t="s">
        <v>103</v>
      </c>
      <c r="C10" s="35" t="s">
        <v>18</v>
      </c>
      <c r="D10" s="36">
        <v>44044</v>
      </c>
      <c r="E10" s="35">
        <f t="shared" si="4"/>
        <v>3</v>
      </c>
      <c r="F10" s="35" t="s">
        <v>19</v>
      </c>
      <c r="G10" s="35" t="s">
        <v>20</v>
      </c>
      <c r="H10" s="35" t="s">
        <v>25</v>
      </c>
      <c r="I10" s="37">
        <v>1</v>
      </c>
      <c r="J10" s="35" t="s">
        <v>28</v>
      </c>
      <c r="K10" s="38">
        <v>0.95</v>
      </c>
      <c r="L10" s="51"/>
      <c r="M10" s="38" t="str">
        <f t="shared" si="1"/>
        <v/>
      </c>
      <c r="N10" s="35" t="str">
        <f t="shared" si="2"/>
        <v/>
      </c>
      <c r="O10" s="35"/>
      <c r="P10" s="35" t="b">
        <f t="shared" ca="1" si="5"/>
        <v>0</v>
      </c>
    </row>
    <row r="11" spans="1:16" s="13" customFormat="1" ht="15" customHeight="1" x14ac:dyDescent="0.2">
      <c r="A11" s="35" t="s">
        <v>17</v>
      </c>
      <c r="B11" s="35" t="s">
        <v>103</v>
      </c>
      <c r="C11" s="35" t="s">
        <v>23</v>
      </c>
      <c r="D11" s="36">
        <v>44044</v>
      </c>
      <c r="E11" s="35">
        <f t="shared" si="4"/>
        <v>3</v>
      </c>
      <c r="F11" s="35" t="s">
        <v>19</v>
      </c>
      <c r="G11" s="35" t="s">
        <v>20</v>
      </c>
      <c r="H11" s="35" t="s">
        <v>25</v>
      </c>
      <c r="I11" s="37">
        <v>1</v>
      </c>
      <c r="J11" s="35" t="s">
        <v>29</v>
      </c>
      <c r="K11" s="38">
        <v>0.999</v>
      </c>
      <c r="L11" s="41"/>
      <c r="M11" s="38" t="str">
        <f t="shared" si="1"/>
        <v/>
      </c>
      <c r="N11" s="35" t="str">
        <f t="shared" si="2"/>
        <v/>
      </c>
      <c r="O11" s="35" t="b">
        <v>1</v>
      </c>
      <c r="P11" s="35" t="b">
        <f t="shared" ca="1" si="5"/>
        <v>0</v>
      </c>
    </row>
    <row r="12" spans="1:16" s="13" customFormat="1" x14ac:dyDescent="0.2">
      <c r="A12" s="7" t="s">
        <v>17</v>
      </c>
      <c r="B12" s="7" t="s">
        <v>103</v>
      </c>
      <c r="C12" s="7" t="s">
        <v>18</v>
      </c>
      <c r="D12" s="8">
        <v>44075</v>
      </c>
      <c r="E12" s="7">
        <f t="shared" si="4"/>
        <v>3</v>
      </c>
      <c r="F12" s="7" t="s">
        <v>19</v>
      </c>
      <c r="G12" s="7" t="s">
        <v>20</v>
      </c>
      <c r="H12" s="7" t="s">
        <v>21</v>
      </c>
      <c r="I12" s="9">
        <v>-1</v>
      </c>
      <c r="J12" s="7" t="s">
        <v>22</v>
      </c>
      <c r="K12" s="10">
        <v>48</v>
      </c>
      <c r="L12" s="49"/>
      <c r="M12" s="10" t="str">
        <f t="shared" si="1"/>
        <v/>
      </c>
      <c r="N12" s="7" t="str">
        <f t="shared" si="2"/>
        <v/>
      </c>
      <c r="O12" s="7"/>
      <c r="P12" s="7" t="b">
        <f t="shared" ca="1" si="5"/>
        <v>0</v>
      </c>
    </row>
    <row r="13" spans="1:16" s="13" customFormat="1" x14ac:dyDescent="0.2">
      <c r="A13" s="7" t="s">
        <v>17</v>
      </c>
      <c r="B13" s="7" t="s">
        <v>103</v>
      </c>
      <c r="C13" s="7" t="s">
        <v>23</v>
      </c>
      <c r="D13" s="8">
        <v>44075</v>
      </c>
      <c r="E13" s="7">
        <f t="shared" si="4"/>
        <v>3</v>
      </c>
      <c r="F13" s="7" t="s">
        <v>24</v>
      </c>
      <c r="G13" s="7" t="s">
        <v>20</v>
      </c>
      <c r="H13" s="7" t="s">
        <v>25</v>
      </c>
      <c r="I13" s="9">
        <v>1</v>
      </c>
      <c r="J13" s="7" t="s">
        <v>26</v>
      </c>
      <c r="K13" s="10">
        <v>0.85</v>
      </c>
      <c r="L13" s="50"/>
      <c r="M13" s="10" t="str">
        <f t="shared" si="1"/>
        <v/>
      </c>
      <c r="N13" s="7" t="str">
        <f t="shared" si="2"/>
        <v/>
      </c>
      <c r="O13" s="7"/>
      <c r="P13" s="7" t="b">
        <f t="shared" ca="1" si="5"/>
        <v>0</v>
      </c>
    </row>
    <row r="14" spans="1:16" s="13" customFormat="1" x14ac:dyDescent="0.2">
      <c r="A14" s="7" t="s">
        <v>17</v>
      </c>
      <c r="B14" s="7" t="s">
        <v>103</v>
      </c>
      <c r="C14" s="7" t="s">
        <v>23</v>
      </c>
      <c r="D14" s="8">
        <v>44075</v>
      </c>
      <c r="E14" s="7">
        <f t="shared" si="4"/>
        <v>3</v>
      </c>
      <c r="F14" s="11" t="s">
        <v>19</v>
      </c>
      <c r="G14" s="7" t="s">
        <v>20</v>
      </c>
      <c r="H14" s="7" t="s">
        <v>25</v>
      </c>
      <c r="I14" s="9">
        <v>1</v>
      </c>
      <c r="J14" s="7" t="s">
        <v>27</v>
      </c>
      <c r="K14" s="10">
        <v>1</v>
      </c>
      <c r="L14" s="51"/>
      <c r="M14" s="10" t="str">
        <f t="shared" si="1"/>
        <v/>
      </c>
      <c r="N14" s="7" t="str">
        <f t="shared" si="2"/>
        <v/>
      </c>
      <c r="O14" s="7" t="b">
        <v>1</v>
      </c>
      <c r="P14" s="7" t="b">
        <f t="shared" ca="1" si="5"/>
        <v>0</v>
      </c>
    </row>
    <row r="15" spans="1:16" s="13" customFormat="1" x14ac:dyDescent="0.2">
      <c r="A15" s="7" t="s">
        <v>17</v>
      </c>
      <c r="B15" s="7" t="s">
        <v>103</v>
      </c>
      <c r="C15" s="7" t="s">
        <v>18</v>
      </c>
      <c r="D15" s="8">
        <v>44075</v>
      </c>
      <c r="E15" s="7">
        <f t="shared" si="4"/>
        <v>3</v>
      </c>
      <c r="F15" s="7" t="s">
        <v>19</v>
      </c>
      <c r="G15" s="7" t="s">
        <v>20</v>
      </c>
      <c r="H15" s="7" t="s">
        <v>25</v>
      </c>
      <c r="I15" s="9">
        <v>1</v>
      </c>
      <c r="J15" s="7" t="s">
        <v>28</v>
      </c>
      <c r="K15" s="10">
        <v>0.95</v>
      </c>
      <c r="L15" s="51"/>
      <c r="M15" s="10" t="str">
        <f t="shared" si="1"/>
        <v/>
      </c>
      <c r="N15" s="7" t="str">
        <f t="shared" si="2"/>
        <v/>
      </c>
      <c r="O15" s="7"/>
      <c r="P15" s="7" t="b">
        <f t="shared" ca="1" si="5"/>
        <v>0</v>
      </c>
    </row>
    <row r="16" spans="1:16" s="13" customFormat="1" x14ac:dyDescent="0.2">
      <c r="A16" s="7" t="s">
        <v>17</v>
      </c>
      <c r="B16" s="7" t="s">
        <v>103</v>
      </c>
      <c r="C16" s="7" t="s">
        <v>23</v>
      </c>
      <c r="D16" s="8">
        <v>44075</v>
      </c>
      <c r="E16" s="7">
        <f t="shared" si="4"/>
        <v>3</v>
      </c>
      <c r="F16" s="7" t="s">
        <v>19</v>
      </c>
      <c r="G16" s="7" t="s">
        <v>20</v>
      </c>
      <c r="H16" s="7" t="s">
        <v>25</v>
      </c>
      <c r="I16" s="9">
        <v>1</v>
      </c>
      <c r="J16" s="7" t="s">
        <v>29</v>
      </c>
      <c r="K16" s="10">
        <v>0.999</v>
      </c>
      <c r="L16" s="41"/>
      <c r="M16" s="10" t="str">
        <f t="shared" si="1"/>
        <v/>
      </c>
      <c r="N16" s="7" t="str">
        <f t="shared" si="2"/>
        <v/>
      </c>
      <c r="O16" s="7" t="b">
        <v>1</v>
      </c>
      <c r="P16" s="7" t="b">
        <f t="shared" ca="1" si="5"/>
        <v>0</v>
      </c>
    </row>
    <row r="17" spans="1:16" s="13" customFormat="1" x14ac:dyDescent="0.2">
      <c r="A17" s="35" t="s">
        <v>17</v>
      </c>
      <c r="B17" s="35" t="s">
        <v>103</v>
      </c>
      <c r="C17" s="35" t="s">
        <v>18</v>
      </c>
      <c r="D17" s="36">
        <v>44105</v>
      </c>
      <c r="E17" s="35">
        <f t="shared" si="4"/>
        <v>4</v>
      </c>
      <c r="F17" s="39" t="s">
        <v>19</v>
      </c>
      <c r="G17" s="35" t="s">
        <v>20</v>
      </c>
      <c r="H17" s="35" t="s">
        <v>21</v>
      </c>
      <c r="I17" s="37">
        <v>-1</v>
      </c>
      <c r="J17" s="35" t="s">
        <v>22</v>
      </c>
      <c r="K17" s="40">
        <v>48</v>
      </c>
      <c r="L17" s="49"/>
      <c r="M17" s="38" t="str">
        <f t="shared" si="1"/>
        <v/>
      </c>
      <c r="N17" s="35" t="str">
        <f t="shared" si="2"/>
        <v/>
      </c>
      <c r="O17" s="35"/>
      <c r="P17" s="35" t="b">
        <f t="shared" ca="1" si="5"/>
        <v>0</v>
      </c>
    </row>
    <row r="18" spans="1:16" s="13" customFormat="1" x14ac:dyDescent="0.2">
      <c r="A18" s="35" t="s">
        <v>17</v>
      </c>
      <c r="B18" s="35" t="s">
        <v>103</v>
      </c>
      <c r="C18" s="35" t="s">
        <v>23</v>
      </c>
      <c r="D18" s="36">
        <v>44105</v>
      </c>
      <c r="E18" s="35">
        <f t="shared" si="4"/>
        <v>4</v>
      </c>
      <c r="F18" s="35" t="s">
        <v>24</v>
      </c>
      <c r="G18" s="35" t="s">
        <v>20</v>
      </c>
      <c r="H18" s="35" t="s">
        <v>25</v>
      </c>
      <c r="I18" s="35">
        <v>1</v>
      </c>
      <c r="J18" s="35" t="s">
        <v>26</v>
      </c>
      <c r="K18" s="38">
        <v>0.85</v>
      </c>
      <c r="L18" s="50"/>
      <c r="M18" s="38" t="str">
        <f t="shared" si="1"/>
        <v/>
      </c>
      <c r="N18" s="35" t="str">
        <f t="shared" si="2"/>
        <v/>
      </c>
      <c r="O18" s="35"/>
      <c r="P18" s="35" t="b">
        <f t="shared" ca="1" si="5"/>
        <v>0</v>
      </c>
    </row>
    <row r="19" spans="1:16" s="13" customFormat="1" x14ac:dyDescent="0.2">
      <c r="A19" s="35" t="s">
        <v>17</v>
      </c>
      <c r="B19" s="35" t="s">
        <v>103</v>
      </c>
      <c r="C19" s="35" t="s">
        <v>23</v>
      </c>
      <c r="D19" s="36">
        <v>44105</v>
      </c>
      <c r="E19" s="35">
        <f t="shared" si="4"/>
        <v>4</v>
      </c>
      <c r="F19" s="39" t="s">
        <v>19</v>
      </c>
      <c r="G19" s="35" t="s">
        <v>20</v>
      </c>
      <c r="H19" s="35" t="s">
        <v>25</v>
      </c>
      <c r="I19" s="37">
        <v>1</v>
      </c>
      <c r="J19" s="35" t="s">
        <v>27</v>
      </c>
      <c r="K19" s="40">
        <v>1</v>
      </c>
      <c r="L19" s="51"/>
      <c r="M19" s="38" t="str">
        <f t="shared" si="1"/>
        <v/>
      </c>
      <c r="N19" s="35" t="str">
        <f t="shared" si="2"/>
        <v/>
      </c>
      <c r="O19" s="35" t="b">
        <v>1</v>
      </c>
      <c r="P19" s="35" t="b">
        <f t="shared" ca="1" si="5"/>
        <v>0</v>
      </c>
    </row>
    <row r="20" spans="1:16" s="13" customFormat="1" x14ac:dyDescent="0.2">
      <c r="A20" s="35" t="s">
        <v>17</v>
      </c>
      <c r="B20" s="35" t="s">
        <v>103</v>
      </c>
      <c r="C20" s="35" t="s">
        <v>18</v>
      </c>
      <c r="D20" s="36">
        <v>44105</v>
      </c>
      <c r="E20" s="35">
        <f t="shared" si="4"/>
        <v>4</v>
      </c>
      <c r="F20" s="39" t="s">
        <v>19</v>
      </c>
      <c r="G20" s="35" t="s">
        <v>20</v>
      </c>
      <c r="H20" s="35" t="s">
        <v>25</v>
      </c>
      <c r="I20" s="37">
        <v>1</v>
      </c>
      <c r="J20" s="35" t="s">
        <v>28</v>
      </c>
      <c r="K20" s="38">
        <v>0.95</v>
      </c>
      <c r="L20" s="51"/>
      <c r="M20" s="38" t="str">
        <f t="shared" si="1"/>
        <v/>
      </c>
      <c r="N20" s="35" t="str">
        <f t="shared" si="2"/>
        <v/>
      </c>
      <c r="O20" s="35"/>
      <c r="P20" s="35" t="b">
        <f t="shared" ca="1" si="5"/>
        <v>0</v>
      </c>
    </row>
    <row r="21" spans="1:16" s="13" customFormat="1" x14ac:dyDescent="0.2">
      <c r="A21" s="35" t="s">
        <v>17</v>
      </c>
      <c r="B21" s="35" t="s">
        <v>103</v>
      </c>
      <c r="C21" s="35" t="s">
        <v>23</v>
      </c>
      <c r="D21" s="36">
        <v>44105</v>
      </c>
      <c r="E21" s="35">
        <f t="shared" si="4"/>
        <v>4</v>
      </c>
      <c r="F21" s="35" t="s">
        <v>19</v>
      </c>
      <c r="G21" s="35" t="s">
        <v>20</v>
      </c>
      <c r="H21" s="35" t="s">
        <v>25</v>
      </c>
      <c r="I21" s="37">
        <v>1</v>
      </c>
      <c r="J21" s="35" t="s">
        <v>29</v>
      </c>
      <c r="K21" s="38">
        <v>0.999</v>
      </c>
      <c r="L21" s="41"/>
      <c r="M21" s="38" t="str">
        <f t="shared" si="1"/>
        <v/>
      </c>
      <c r="N21" s="35" t="str">
        <f t="shared" si="2"/>
        <v/>
      </c>
      <c r="O21" s="35" t="b">
        <v>1</v>
      </c>
      <c r="P21" s="35" t="b">
        <f t="shared" ca="1" si="5"/>
        <v>0</v>
      </c>
    </row>
    <row r="22" spans="1:16" s="13" customFormat="1" x14ac:dyDescent="0.2">
      <c r="A22" s="7" t="s">
        <v>17</v>
      </c>
      <c r="B22" s="7" t="s">
        <v>103</v>
      </c>
      <c r="C22" s="7" t="s">
        <v>18</v>
      </c>
      <c r="D22" s="8">
        <v>44136</v>
      </c>
      <c r="E22" s="7">
        <f t="shared" si="4"/>
        <v>4</v>
      </c>
      <c r="F22" s="7" t="s">
        <v>19</v>
      </c>
      <c r="G22" s="7" t="s">
        <v>20</v>
      </c>
      <c r="H22" s="7" t="s">
        <v>21</v>
      </c>
      <c r="I22" s="9">
        <v>-1</v>
      </c>
      <c r="J22" s="7" t="s">
        <v>22</v>
      </c>
      <c r="K22" s="12">
        <v>48</v>
      </c>
      <c r="L22" s="49"/>
      <c r="M22" s="10" t="str">
        <f t="shared" si="1"/>
        <v/>
      </c>
      <c r="N22" s="7" t="str">
        <f t="shared" si="2"/>
        <v/>
      </c>
      <c r="O22" s="7"/>
      <c r="P22" s="7" t="b">
        <f t="shared" ca="1" si="5"/>
        <v>0</v>
      </c>
    </row>
    <row r="23" spans="1:16" s="13" customFormat="1" x14ac:dyDescent="0.2">
      <c r="A23" s="7" t="s">
        <v>17</v>
      </c>
      <c r="B23" s="7" t="s">
        <v>103</v>
      </c>
      <c r="C23" s="7" t="s">
        <v>23</v>
      </c>
      <c r="D23" s="8">
        <v>44136</v>
      </c>
      <c r="E23" s="7">
        <f t="shared" si="4"/>
        <v>4</v>
      </c>
      <c r="F23" s="7" t="s">
        <v>24</v>
      </c>
      <c r="G23" s="7" t="s">
        <v>20</v>
      </c>
      <c r="H23" s="7" t="s">
        <v>25</v>
      </c>
      <c r="I23" s="9">
        <v>1</v>
      </c>
      <c r="J23" s="7" t="s">
        <v>26</v>
      </c>
      <c r="K23" s="10">
        <v>0.85</v>
      </c>
      <c r="L23" s="50"/>
      <c r="M23" s="10" t="str">
        <f t="shared" si="1"/>
        <v/>
      </c>
      <c r="N23" s="7" t="str">
        <f t="shared" si="2"/>
        <v/>
      </c>
      <c r="O23" s="7"/>
      <c r="P23" s="7" t="b">
        <f t="shared" ca="1" si="5"/>
        <v>0</v>
      </c>
    </row>
    <row r="24" spans="1:16" s="13" customFormat="1" x14ac:dyDescent="0.2">
      <c r="A24" s="7" t="s">
        <v>17</v>
      </c>
      <c r="B24" s="7" t="s">
        <v>103</v>
      </c>
      <c r="C24" s="7" t="s">
        <v>23</v>
      </c>
      <c r="D24" s="8">
        <v>44136</v>
      </c>
      <c r="E24" s="7">
        <f t="shared" si="4"/>
        <v>4</v>
      </c>
      <c r="F24" s="11" t="s">
        <v>19</v>
      </c>
      <c r="G24" s="7" t="s">
        <v>20</v>
      </c>
      <c r="H24" s="7" t="s">
        <v>25</v>
      </c>
      <c r="I24" s="9">
        <v>1</v>
      </c>
      <c r="J24" s="7" t="s">
        <v>27</v>
      </c>
      <c r="K24" s="10">
        <v>1</v>
      </c>
      <c r="L24" s="51"/>
      <c r="M24" s="10" t="str">
        <f t="shared" si="1"/>
        <v/>
      </c>
      <c r="N24" s="7" t="str">
        <f t="shared" si="2"/>
        <v/>
      </c>
      <c r="O24" s="7" t="b">
        <v>1</v>
      </c>
      <c r="P24" s="7" t="b">
        <f t="shared" ca="1" si="5"/>
        <v>0</v>
      </c>
    </row>
    <row r="25" spans="1:16" s="13" customFormat="1" x14ac:dyDescent="0.2">
      <c r="A25" s="7" t="s">
        <v>17</v>
      </c>
      <c r="B25" s="7" t="s">
        <v>103</v>
      </c>
      <c r="C25" s="7" t="s">
        <v>18</v>
      </c>
      <c r="D25" s="8">
        <v>44136</v>
      </c>
      <c r="E25" s="7">
        <f t="shared" si="4"/>
        <v>4</v>
      </c>
      <c r="F25" s="7" t="s">
        <v>19</v>
      </c>
      <c r="G25" s="7" t="s">
        <v>20</v>
      </c>
      <c r="H25" s="7" t="s">
        <v>25</v>
      </c>
      <c r="I25" s="9">
        <v>1</v>
      </c>
      <c r="J25" s="7" t="s">
        <v>28</v>
      </c>
      <c r="K25" s="10">
        <v>0.95</v>
      </c>
      <c r="L25" s="51"/>
      <c r="M25" s="10" t="str">
        <f t="shared" si="1"/>
        <v/>
      </c>
      <c r="N25" s="7" t="str">
        <f t="shared" si="2"/>
        <v/>
      </c>
      <c r="O25" s="7"/>
      <c r="P25" s="7" t="b">
        <f t="shared" ca="1" si="5"/>
        <v>0</v>
      </c>
    </row>
    <row r="26" spans="1:16" s="13" customFormat="1" x14ac:dyDescent="0.2">
      <c r="A26" s="7" t="s">
        <v>17</v>
      </c>
      <c r="B26" s="7" t="s">
        <v>103</v>
      </c>
      <c r="C26" s="7" t="s">
        <v>23</v>
      </c>
      <c r="D26" s="8">
        <v>44136</v>
      </c>
      <c r="E26" s="7">
        <f t="shared" si="4"/>
        <v>4</v>
      </c>
      <c r="F26" s="7" t="s">
        <v>19</v>
      </c>
      <c r="G26" s="7" t="s">
        <v>20</v>
      </c>
      <c r="H26" s="7" t="s">
        <v>25</v>
      </c>
      <c r="I26" s="9">
        <v>1</v>
      </c>
      <c r="J26" s="7" t="s">
        <v>29</v>
      </c>
      <c r="K26" s="10">
        <v>0.999</v>
      </c>
      <c r="L26" s="41"/>
      <c r="M26" s="10" t="str">
        <f t="shared" si="1"/>
        <v/>
      </c>
      <c r="N26" s="7" t="str">
        <f t="shared" si="2"/>
        <v/>
      </c>
      <c r="O26" s="7" t="b">
        <v>1</v>
      </c>
      <c r="P26" s="7" t="b">
        <f t="shared" ca="1" si="5"/>
        <v>0</v>
      </c>
    </row>
    <row r="27" spans="1:16" s="13" customFormat="1" x14ac:dyDescent="0.2">
      <c r="A27" s="35" t="s">
        <v>17</v>
      </c>
      <c r="B27" s="35" t="s">
        <v>103</v>
      </c>
      <c r="C27" s="35" t="s">
        <v>18</v>
      </c>
      <c r="D27" s="36">
        <v>44166</v>
      </c>
      <c r="E27" s="35">
        <f t="shared" si="4"/>
        <v>4</v>
      </c>
      <c r="F27" s="39" t="s">
        <v>19</v>
      </c>
      <c r="G27" s="35" t="s">
        <v>20</v>
      </c>
      <c r="H27" s="35" t="s">
        <v>21</v>
      </c>
      <c r="I27" s="37">
        <v>-1</v>
      </c>
      <c r="J27" s="35" t="s">
        <v>22</v>
      </c>
      <c r="K27" s="40">
        <v>48</v>
      </c>
      <c r="L27" s="49"/>
      <c r="M27" s="38" t="str">
        <f t="shared" si="1"/>
        <v/>
      </c>
      <c r="N27" s="35" t="str">
        <f t="shared" si="2"/>
        <v/>
      </c>
      <c r="O27" s="35"/>
      <c r="P27" s="35" t="b">
        <f t="shared" ca="1" si="5"/>
        <v>0</v>
      </c>
    </row>
    <row r="28" spans="1:16" s="13" customFormat="1" x14ac:dyDescent="0.2">
      <c r="A28" s="35" t="s">
        <v>17</v>
      </c>
      <c r="B28" s="35" t="s">
        <v>103</v>
      </c>
      <c r="C28" s="35" t="s">
        <v>23</v>
      </c>
      <c r="D28" s="36">
        <v>44166</v>
      </c>
      <c r="E28" s="35">
        <f t="shared" si="4"/>
        <v>4</v>
      </c>
      <c r="F28" s="35" t="s">
        <v>24</v>
      </c>
      <c r="G28" s="35" t="s">
        <v>20</v>
      </c>
      <c r="H28" s="35" t="s">
        <v>25</v>
      </c>
      <c r="I28" s="35">
        <v>1</v>
      </c>
      <c r="J28" s="35" t="s">
        <v>26</v>
      </c>
      <c r="K28" s="38">
        <v>0.85</v>
      </c>
      <c r="L28" s="50"/>
      <c r="M28" s="38" t="str">
        <f t="shared" si="1"/>
        <v/>
      </c>
      <c r="N28" s="35" t="str">
        <f t="shared" si="2"/>
        <v/>
      </c>
      <c r="O28" s="35"/>
      <c r="P28" s="35" t="b">
        <f t="shared" ca="1" si="5"/>
        <v>0</v>
      </c>
    </row>
    <row r="29" spans="1:16" s="13" customFormat="1" x14ac:dyDescent="0.2">
      <c r="A29" s="35" t="s">
        <v>17</v>
      </c>
      <c r="B29" s="35" t="s">
        <v>103</v>
      </c>
      <c r="C29" s="35" t="s">
        <v>23</v>
      </c>
      <c r="D29" s="36">
        <v>44166</v>
      </c>
      <c r="E29" s="35">
        <f t="shared" si="4"/>
        <v>4</v>
      </c>
      <c r="F29" s="39" t="s">
        <v>19</v>
      </c>
      <c r="G29" s="35" t="s">
        <v>20</v>
      </c>
      <c r="H29" s="35" t="s">
        <v>25</v>
      </c>
      <c r="I29" s="37">
        <v>1</v>
      </c>
      <c r="J29" s="35" t="s">
        <v>27</v>
      </c>
      <c r="K29" s="40">
        <v>1</v>
      </c>
      <c r="L29" s="51"/>
      <c r="M29" s="38" t="str">
        <f t="shared" si="1"/>
        <v/>
      </c>
      <c r="N29" s="35" t="str">
        <f t="shared" si="2"/>
        <v/>
      </c>
      <c r="O29" s="35" t="b">
        <v>1</v>
      </c>
      <c r="P29" s="35" t="b">
        <f t="shared" ca="1" si="5"/>
        <v>0</v>
      </c>
    </row>
    <row r="30" spans="1:16" s="13" customFormat="1" x14ac:dyDescent="0.2">
      <c r="A30" s="35" t="s">
        <v>17</v>
      </c>
      <c r="B30" s="35" t="s">
        <v>103</v>
      </c>
      <c r="C30" s="35" t="s">
        <v>18</v>
      </c>
      <c r="D30" s="36">
        <v>44166</v>
      </c>
      <c r="E30" s="35">
        <f t="shared" si="4"/>
        <v>4</v>
      </c>
      <c r="F30" s="39" t="s">
        <v>19</v>
      </c>
      <c r="G30" s="35" t="s">
        <v>20</v>
      </c>
      <c r="H30" s="35" t="s">
        <v>25</v>
      </c>
      <c r="I30" s="37">
        <v>1</v>
      </c>
      <c r="J30" s="35" t="s">
        <v>28</v>
      </c>
      <c r="K30" s="38">
        <v>0.95</v>
      </c>
      <c r="L30" s="51"/>
      <c r="M30" s="38" t="str">
        <f t="shared" si="1"/>
        <v/>
      </c>
      <c r="N30" s="35" t="str">
        <f t="shared" si="2"/>
        <v/>
      </c>
      <c r="O30" s="35"/>
      <c r="P30" s="35" t="b">
        <f t="shared" ca="1" si="5"/>
        <v>0</v>
      </c>
    </row>
    <row r="31" spans="1:16" s="13" customFormat="1" x14ac:dyDescent="0.2">
      <c r="A31" s="35" t="s">
        <v>17</v>
      </c>
      <c r="B31" s="35" t="s">
        <v>103</v>
      </c>
      <c r="C31" s="35" t="s">
        <v>23</v>
      </c>
      <c r="D31" s="36">
        <v>44166</v>
      </c>
      <c r="E31" s="35">
        <f t="shared" si="4"/>
        <v>4</v>
      </c>
      <c r="F31" s="35" t="s">
        <v>19</v>
      </c>
      <c r="G31" s="35" t="s">
        <v>20</v>
      </c>
      <c r="H31" s="35" t="s">
        <v>25</v>
      </c>
      <c r="I31" s="37">
        <v>1</v>
      </c>
      <c r="J31" s="35" t="s">
        <v>29</v>
      </c>
      <c r="K31" s="38">
        <v>0.999</v>
      </c>
      <c r="L31" s="41"/>
      <c r="M31" s="38" t="str">
        <f t="shared" si="1"/>
        <v/>
      </c>
      <c r="N31" s="35" t="str">
        <f t="shared" si="2"/>
        <v/>
      </c>
      <c r="O31" s="35" t="b">
        <v>1</v>
      </c>
      <c r="P31" s="35" t="b">
        <f t="shared" ca="1" si="5"/>
        <v>0</v>
      </c>
    </row>
    <row r="32" spans="1:16" s="13" customFormat="1" x14ac:dyDescent="0.2">
      <c r="A32" s="7"/>
      <c r="B32" s="7"/>
      <c r="C32" s="7"/>
      <c r="D32" s="8"/>
      <c r="E32" s="7"/>
      <c r="F32" s="7"/>
      <c r="G32" s="7"/>
      <c r="H32" s="7"/>
      <c r="I32" s="9"/>
      <c r="J32" s="7"/>
      <c r="K32" s="10"/>
      <c r="L32" s="42"/>
      <c r="M32" s="10"/>
      <c r="N32" s="7"/>
      <c r="O32" s="7"/>
      <c r="P32" s="7"/>
    </row>
    <row r="33" spans="1:16" s="13" customFormat="1" x14ac:dyDescent="0.2">
      <c r="A33" s="7"/>
      <c r="B33" s="7"/>
      <c r="C33" s="7"/>
      <c r="D33" s="8"/>
      <c r="E33" s="7"/>
      <c r="F33" s="11"/>
      <c r="G33" s="7"/>
      <c r="H33" s="7"/>
      <c r="I33" s="9"/>
      <c r="J33" s="7"/>
      <c r="K33" s="12"/>
      <c r="L33" s="43"/>
      <c r="M33" s="10"/>
      <c r="N33" s="7"/>
      <c r="O33" s="7"/>
      <c r="P33" s="7"/>
    </row>
    <row r="34" spans="1:16" s="13" customFormat="1" x14ac:dyDescent="0.2">
      <c r="A34" s="7"/>
      <c r="B34" s="7"/>
      <c r="C34" s="7"/>
      <c r="D34" s="8"/>
      <c r="E34" s="7"/>
      <c r="F34" s="11"/>
      <c r="G34" s="7"/>
      <c r="H34" s="7"/>
      <c r="I34" s="9"/>
      <c r="J34" s="7"/>
      <c r="K34" s="10"/>
      <c r="L34" s="44"/>
      <c r="M34" s="10"/>
      <c r="N34" s="7"/>
      <c r="O34" s="7"/>
      <c r="P34" s="7"/>
    </row>
    <row r="35" spans="1:16" s="13" customFormat="1" x14ac:dyDescent="0.2">
      <c r="A35" s="7"/>
      <c r="B35" s="7"/>
      <c r="C35" s="7"/>
      <c r="D35" s="8"/>
      <c r="E35" s="7"/>
      <c r="F35" s="7"/>
      <c r="G35" s="7"/>
      <c r="H35" s="7"/>
      <c r="I35" s="9"/>
      <c r="J35" s="7"/>
      <c r="K35" s="10"/>
      <c r="L35" s="44"/>
      <c r="M35" s="10"/>
      <c r="N35" s="7"/>
      <c r="O35" s="7"/>
      <c r="P35" s="7"/>
    </row>
    <row r="36" spans="1:16" s="13" customFormat="1" x14ac:dyDescent="0.2">
      <c r="A36" s="7"/>
      <c r="B36" s="7"/>
      <c r="C36" s="7"/>
      <c r="D36" s="8"/>
      <c r="E36" s="7"/>
      <c r="F36" s="11"/>
      <c r="G36" s="7"/>
      <c r="H36" s="7"/>
      <c r="I36" s="9"/>
      <c r="J36" s="7"/>
      <c r="K36" s="10"/>
      <c r="L36" s="45"/>
      <c r="M36" s="10"/>
      <c r="N36" s="7"/>
      <c r="O36" s="7"/>
      <c r="P36" s="7"/>
    </row>
    <row r="37" spans="1:16" s="13" customFormat="1" x14ac:dyDescent="0.2">
      <c r="A37" s="7"/>
      <c r="B37" s="7"/>
      <c r="C37" s="7"/>
      <c r="D37" s="8"/>
      <c r="E37" s="7"/>
      <c r="F37" s="7"/>
      <c r="G37" s="7"/>
      <c r="H37" s="7"/>
      <c r="I37" s="9"/>
      <c r="J37" s="7"/>
      <c r="K37" s="12"/>
      <c r="L37" s="46"/>
      <c r="M37" s="10"/>
      <c r="N37" s="7"/>
      <c r="O37" s="7"/>
      <c r="P37" s="7"/>
    </row>
    <row r="38" spans="1:16" s="13" customFormat="1" x14ac:dyDescent="0.2">
      <c r="A38" s="7"/>
      <c r="B38" s="7"/>
      <c r="C38" s="7"/>
      <c r="D38" s="8"/>
      <c r="E38" s="7"/>
      <c r="F38" s="7"/>
      <c r="G38" s="7"/>
      <c r="H38" s="7"/>
      <c r="I38" s="9"/>
      <c r="J38" s="7"/>
      <c r="K38" s="10"/>
      <c r="L38" s="44"/>
      <c r="M38" s="10"/>
      <c r="N38" s="7"/>
      <c r="O38" s="7"/>
      <c r="P38" s="7"/>
    </row>
    <row r="39" spans="1:16" s="13" customFormat="1" x14ac:dyDescent="0.2">
      <c r="A39" s="7"/>
      <c r="B39" s="7"/>
      <c r="C39" s="7"/>
      <c r="D39" s="8"/>
      <c r="E39" s="7"/>
      <c r="F39" s="7"/>
      <c r="G39" s="7"/>
      <c r="H39" s="7"/>
      <c r="I39" s="9"/>
      <c r="J39" s="7"/>
      <c r="K39" s="10"/>
      <c r="L39" s="44"/>
      <c r="M39" s="10"/>
      <c r="N39" s="7"/>
      <c r="O39" s="7"/>
      <c r="P39" s="7"/>
    </row>
    <row r="40" spans="1:16" s="13" customFormat="1" x14ac:dyDescent="0.2">
      <c r="A40" s="7"/>
      <c r="B40" s="7"/>
      <c r="C40" s="7"/>
      <c r="D40" s="8"/>
      <c r="E40" s="7"/>
      <c r="F40" s="11"/>
      <c r="G40" s="7"/>
      <c r="H40" s="7"/>
      <c r="I40" s="9"/>
      <c r="J40" s="7"/>
      <c r="K40" s="10"/>
      <c r="L40" s="44"/>
      <c r="M40" s="10"/>
      <c r="N40" s="7"/>
      <c r="O40" s="7"/>
      <c r="P40" s="7"/>
    </row>
    <row r="41" spans="1:16" s="13" customFormat="1" x14ac:dyDescent="0.2">
      <c r="A41" s="7"/>
      <c r="B41" s="7"/>
      <c r="C41" s="7"/>
      <c r="D41" s="8"/>
      <c r="E41" s="7"/>
      <c r="F41" s="7"/>
      <c r="G41" s="7"/>
      <c r="H41" s="7"/>
      <c r="I41" s="9"/>
      <c r="J41" s="7"/>
      <c r="K41" s="10"/>
      <c r="L41" s="42"/>
      <c r="M41" s="10"/>
      <c r="N41" s="7"/>
      <c r="O41" s="7"/>
      <c r="P41" s="7"/>
    </row>
    <row r="42" spans="1:16" s="13" customFormat="1" x14ac:dyDescent="0.2">
      <c r="A42" s="7"/>
      <c r="B42" s="7"/>
      <c r="C42" s="7"/>
      <c r="D42" s="8"/>
      <c r="E42" s="7"/>
      <c r="F42" s="11"/>
      <c r="G42" s="7"/>
      <c r="H42" s="7"/>
      <c r="I42" s="9"/>
      <c r="J42" s="7"/>
      <c r="K42" s="12"/>
      <c r="L42" s="43"/>
      <c r="M42" s="10"/>
      <c r="N42" s="7"/>
      <c r="O42" s="7"/>
      <c r="P42" s="7"/>
    </row>
    <row r="43" spans="1:16" s="13" customFormat="1" x14ac:dyDescent="0.2">
      <c r="A43" s="7"/>
      <c r="B43" s="7"/>
      <c r="C43" s="7"/>
      <c r="D43" s="8"/>
      <c r="E43" s="7"/>
      <c r="F43" s="11"/>
      <c r="G43" s="7"/>
      <c r="H43" s="7"/>
      <c r="I43" s="9"/>
      <c r="J43" s="7"/>
      <c r="K43" s="10"/>
      <c r="L43" s="44"/>
      <c r="M43" s="10"/>
      <c r="N43" s="7"/>
      <c r="O43" s="7"/>
      <c r="P43" s="7"/>
    </row>
    <row r="44" spans="1:16" s="13" customFormat="1" x14ac:dyDescent="0.2">
      <c r="A44" s="7"/>
      <c r="B44" s="7"/>
      <c r="C44" s="7"/>
      <c r="D44" s="8"/>
      <c r="E44" s="7"/>
      <c r="F44" s="7"/>
      <c r="G44" s="7"/>
      <c r="H44" s="7"/>
      <c r="I44" s="9"/>
      <c r="J44" s="7"/>
      <c r="K44" s="10"/>
      <c r="L44" s="44"/>
      <c r="M44" s="10"/>
      <c r="N44" s="7"/>
      <c r="O44" s="7"/>
      <c r="P44" s="7"/>
    </row>
    <row r="45" spans="1:16" s="13" customFormat="1" x14ac:dyDescent="0.2">
      <c r="A45" s="7"/>
      <c r="B45" s="7"/>
      <c r="C45" s="7"/>
      <c r="D45" s="8"/>
      <c r="E45" s="7"/>
      <c r="F45" s="11"/>
      <c r="G45" s="7"/>
      <c r="H45" s="7"/>
      <c r="I45" s="9"/>
      <c r="J45" s="7"/>
      <c r="K45" s="10"/>
      <c r="L45" s="45"/>
      <c r="M45" s="10"/>
      <c r="N45" s="7"/>
      <c r="O45" s="7"/>
      <c r="P45" s="7"/>
    </row>
    <row r="46" spans="1:16" s="13" customFormat="1" x14ac:dyDescent="0.2">
      <c r="A46" s="7"/>
      <c r="B46" s="7"/>
      <c r="C46" s="7"/>
      <c r="D46" s="8"/>
      <c r="E46" s="7"/>
      <c r="F46" s="7"/>
      <c r="G46" s="7"/>
      <c r="H46" s="7"/>
      <c r="I46" s="9"/>
      <c r="J46" s="7"/>
      <c r="K46" s="12"/>
      <c r="L46" s="46"/>
      <c r="M46" s="10"/>
      <c r="N46" s="7"/>
      <c r="O46" s="7"/>
      <c r="P46" s="7"/>
    </row>
    <row r="47" spans="1:16" s="13" customFormat="1" x14ac:dyDescent="0.2">
      <c r="A47" s="7"/>
      <c r="B47" s="7"/>
      <c r="C47" s="7"/>
      <c r="D47" s="8"/>
      <c r="E47" s="7"/>
      <c r="F47" s="7"/>
      <c r="G47" s="7"/>
      <c r="H47" s="7"/>
      <c r="I47" s="9"/>
      <c r="J47" s="7"/>
      <c r="K47" s="10"/>
      <c r="L47" s="44"/>
      <c r="M47" s="10"/>
      <c r="N47" s="7"/>
      <c r="O47" s="7"/>
      <c r="P47" s="7"/>
    </row>
    <row r="48" spans="1:16" s="13" customFormat="1" x14ac:dyDescent="0.2">
      <c r="A48" s="7"/>
      <c r="B48" s="7"/>
      <c r="C48" s="7"/>
      <c r="D48" s="8"/>
      <c r="E48" s="7"/>
      <c r="F48" s="7"/>
      <c r="G48" s="7"/>
      <c r="H48" s="7"/>
      <c r="I48" s="9"/>
      <c r="J48" s="7"/>
      <c r="K48" s="10"/>
      <c r="L48" s="44"/>
      <c r="M48" s="10"/>
      <c r="N48" s="7"/>
      <c r="O48" s="7"/>
      <c r="P48" s="7"/>
    </row>
    <row r="49" spans="1:16" s="13" customFormat="1" x14ac:dyDescent="0.2">
      <c r="A49" s="7"/>
      <c r="B49" s="7"/>
      <c r="C49" s="7"/>
      <c r="D49" s="8"/>
      <c r="E49" s="7"/>
      <c r="F49" s="11"/>
      <c r="G49" s="7"/>
      <c r="H49" s="7"/>
      <c r="I49" s="9"/>
      <c r="J49" s="7"/>
      <c r="K49" s="10"/>
      <c r="L49" s="44"/>
      <c r="M49" s="10"/>
      <c r="N49" s="7"/>
      <c r="O49" s="7"/>
      <c r="P49" s="7"/>
    </row>
    <row r="50" spans="1:16" s="13" customFormat="1" x14ac:dyDescent="0.2">
      <c r="A50" s="7"/>
      <c r="B50" s="7"/>
      <c r="C50" s="7"/>
      <c r="D50" s="8"/>
      <c r="E50" s="7"/>
      <c r="F50" s="7"/>
      <c r="G50" s="7"/>
      <c r="H50" s="7"/>
      <c r="I50" s="9"/>
      <c r="J50" s="7"/>
      <c r="K50" s="10"/>
      <c r="L50" s="42"/>
      <c r="M50" s="10"/>
      <c r="N50" s="7"/>
      <c r="O50" s="7"/>
      <c r="P50" s="7"/>
    </row>
    <row r="51" spans="1:16" s="13" customFormat="1" x14ac:dyDescent="0.2">
      <c r="A51" s="7"/>
      <c r="B51" s="7"/>
      <c r="C51" s="7"/>
      <c r="D51" s="8"/>
      <c r="E51" s="7"/>
      <c r="F51" s="11"/>
      <c r="G51" s="7"/>
      <c r="H51" s="7"/>
      <c r="I51" s="9"/>
      <c r="J51" s="7"/>
      <c r="K51" s="12"/>
      <c r="L51" s="43"/>
      <c r="M51" s="10"/>
      <c r="N51" s="7"/>
      <c r="O51" s="7"/>
      <c r="P51" s="7"/>
    </row>
    <row r="52" spans="1:16" s="13" customFormat="1" x14ac:dyDescent="0.2">
      <c r="A52" s="7"/>
      <c r="B52" s="7"/>
      <c r="C52" s="7"/>
      <c r="D52" s="8"/>
      <c r="E52" s="7"/>
      <c r="F52" s="11"/>
      <c r="G52" s="7"/>
      <c r="H52" s="7"/>
      <c r="I52" s="9"/>
      <c r="J52" s="7"/>
      <c r="K52" s="10"/>
      <c r="L52" s="44"/>
      <c r="M52" s="10"/>
      <c r="N52" s="7"/>
      <c r="O52" s="7"/>
      <c r="P52" s="7"/>
    </row>
    <row r="53" spans="1:16" s="13" customFormat="1" x14ac:dyDescent="0.2">
      <c r="A53" s="7"/>
      <c r="B53" s="7"/>
      <c r="C53" s="7"/>
      <c r="D53" s="8"/>
      <c r="E53" s="7"/>
      <c r="F53" s="7"/>
      <c r="G53" s="7"/>
      <c r="H53" s="7"/>
      <c r="I53" s="9"/>
      <c r="J53" s="7"/>
      <c r="K53" s="10"/>
      <c r="L53" s="44"/>
      <c r="M53" s="10"/>
      <c r="N53" s="7"/>
      <c r="O53" s="7"/>
      <c r="P53" s="7"/>
    </row>
    <row r="54" spans="1:16" s="13" customFormat="1" x14ac:dyDescent="0.2">
      <c r="A54" s="7"/>
      <c r="B54" s="7"/>
      <c r="C54" s="7"/>
      <c r="D54" s="8"/>
      <c r="E54" s="7"/>
      <c r="F54" s="11"/>
      <c r="G54" s="7"/>
      <c r="H54" s="7"/>
      <c r="I54" s="9"/>
      <c r="J54" s="7"/>
      <c r="K54" s="10"/>
      <c r="L54" s="45"/>
      <c r="M54" s="10"/>
      <c r="N54" s="7"/>
      <c r="O54" s="7"/>
      <c r="P54" s="7"/>
    </row>
    <row r="55" spans="1:16" s="13" customFormat="1" x14ac:dyDescent="0.2">
      <c r="A55" s="7"/>
      <c r="B55" s="7"/>
      <c r="C55" s="7"/>
      <c r="D55" s="8"/>
      <c r="E55" s="7"/>
      <c r="F55" s="7"/>
      <c r="G55" s="7"/>
      <c r="H55" s="7"/>
      <c r="I55" s="9"/>
      <c r="J55" s="7"/>
      <c r="K55" s="12"/>
      <c r="L55" s="46"/>
      <c r="M55" s="10"/>
      <c r="N55" s="7"/>
      <c r="O55" s="7"/>
      <c r="P55" s="7"/>
    </row>
    <row r="56" spans="1:16" s="13" customFormat="1" x14ac:dyDescent="0.2">
      <c r="A56" s="7"/>
      <c r="B56" s="7"/>
      <c r="C56" s="7"/>
      <c r="D56" s="8"/>
      <c r="E56" s="7"/>
      <c r="F56" s="7"/>
      <c r="G56" s="7"/>
      <c r="H56" s="7"/>
      <c r="I56" s="9"/>
      <c r="J56" s="7"/>
      <c r="K56" s="10"/>
      <c r="L56" s="44"/>
      <c r="M56" s="10"/>
      <c r="N56" s="7"/>
      <c r="O56" s="7"/>
      <c r="P56" s="7"/>
    </row>
    <row r="57" spans="1:16" s="13" customFormat="1" x14ac:dyDescent="0.2">
      <c r="A57" s="7"/>
      <c r="B57" s="7"/>
      <c r="C57" s="7"/>
      <c r="D57" s="8"/>
      <c r="E57" s="7"/>
      <c r="F57" s="7"/>
      <c r="G57" s="7"/>
      <c r="H57" s="7"/>
      <c r="I57" s="9"/>
      <c r="J57" s="7"/>
      <c r="K57" s="10"/>
      <c r="L57" s="44"/>
      <c r="M57" s="10"/>
      <c r="N57" s="7"/>
      <c r="O57" s="7"/>
      <c r="P57" s="7"/>
    </row>
    <row r="58" spans="1:16" s="13" customFormat="1" x14ac:dyDescent="0.2">
      <c r="A58" s="7"/>
      <c r="B58" s="7"/>
      <c r="C58" s="7"/>
      <c r="D58" s="8"/>
      <c r="E58" s="7"/>
      <c r="F58" s="11"/>
      <c r="G58" s="7"/>
      <c r="H58" s="7"/>
      <c r="I58" s="9"/>
      <c r="J58" s="7"/>
      <c r="K58" s="10"/>
      <c r="L58" s="44"/>
      <c r="M58" s="10"/>
      <c r="N58" s="7"/>
      <c r="O58" s="7"/>
      <c r="P58" s="7"/>
    </row>
    <row r="59" spans="1:16" s="13" customFormat="1" x14ac:dyDescent="0.2">
      <c r="A59" s="7"/>
      <c r="B59" s="7"/>
      <c r="C59" s="7"/>
      <c r="D59" s="8"/>
      <c r="E59" s="7"/>
      <c r="F59" s="7"/>
      <c r="G59" s="7"/>
      <c r="H59" s="7"/>
      <c r="I59" s="9"/>
      <c r="J59" s="7"/>
      <c r="K59" s="10"/>
      <c r="L59" s="42"/>
      <c r="M59" s="10"/>
      <c r="N59" s="7"/>
      <c r="O59" s="7"/>
      <c r="P59" s="7"/>
    </row>
    <row r="60" spans="1:16" s="13" customFormat="1" x14ac:dyDescent="0.2">
      <c r="A60" s="7"/>
      <c r="B60" s="7"/>
      <c r="C60" s="7"/>
      <c r="D60" s="8"/>
      <c r="E60" s="7"/>
      <c r="F60" s="11"/>
      <c r="G60" s="7"/>
      <c r="H60" s="7"/>
      <c r="I60" s="9"/>
      <c r="J60" s="7"/>
      <c r="K60" s="12"/>
      <c r="L60" s="43"/>
      <c r="M60" s="10"/>
      <c r="N60" s="7"/>
      <c r="O60" s="7"/>
      <c r="P60" s="7"/>
    </row>
    <row r="61" spans="1:16" s="13" customFormat="1" x14ac:dyDescent="0.2">
      <c r="A61" s="7"/>
      <c r="B61" s="7"/>
      <c r="C61" s="7"/>
      <c r="D61" s="8"/>
      <c r="E61" s="7"/>
      <c r="F61" s="11"/>
      <c r="G61" s="7"/>
      <c r="H61" s="7"/>
      <c r="I61" s="9"/>
      <c r="J61" s="7"/>
      <c r="K61" s="10"/>
      <c r="L61" s="44"/>
      <c r="M61" s="10"/>
      <c r="N61" s="7"/>
      <c r="O61" s="7"/>
      <c r="P61" s="7"/>
    </row>
    <row r="62" spans="1:16" s="13" customFormat="1" x14ac:dyDescent="0.2">
      <c r="A62" s="7"/>
      <c r="B62" s="7"/>
      <c r="C62" s="7"/>
      <c r="D62" s="8"/>
      <c r="E62" s="7"/>
      <c r="F62" s="7"/>
      <c r="G62" s="7"/>
      <c r="H62" s="7"/>
      <c r="I62" s="9"/>
      <c r="J62" s="7"/>
      <c r="K62" s="10"/>
      <c r="L62" s="44"/>
      <c r="M62" s="10"/>
      <c r="N62" s="7"/>
      <c r="O62" s="7"/>
      <c r="P62" s="7"/>
    </row>
    <row r="63" spans="1:16" s="13" customFormat="1" x14ac:dyDescent="0.2">
      <c r="A63" s="7"/>
      <c r="B63" s="7"/>
      <c r="C63" s="7"/>
      <c r="D63" s="8"/>
      <c r="E63" s="7"/>
      <c r="F63" s="11"/>
      <c r="G63" s="7"/>
      <c r="H63" s="7"/>
      <c r="I63" s="9"/>
      <c r="J63" s="7"/>
      <c r="K63" s="10"/>
      <c r="L63" s="45"/>
      <c r="M63" s="10"/>
      <c r="N63" s="7"/>
      <c r="O63" s="7"/>
      <c r="P63" s="7"/>
    </row>
    <row r="64" spans="1:16" s="13" customFormat="1" x14ac:dyDescent="0.2">
      <c r="A64" s="7"/>
      <c r="B64" s="7"/>
      <c r="C64" s="7"/>
      <c r="D64" s="8"/>
      <c r="E64" s="7"/>
      <c r="F64" s="7"/>
      <c r="G64" s="7"/>
      <c r="H64" s="7"/>
      <c r="I64" s="9"/>
      <c r="J64" s="7"/>
      <c r="K64" s="12"/>
      <c r="L64" s="46"/>
      <c r="M64" s="10"/>
      <c r="N64" s="7"/>
      <c r="O64" s="7"/>
      <c r="P64" s="7"/>
    </row>
    <row r="65" spans="1:16" s="13" customFormat="1" x14ac:dyDescent="0.2">
      <c r="A65" s="7"/>
      <c r="B65" s="7"/>
      <c r="C65" s="7"/>
      <c r="D65" s="8"/>
      <c r="E65" s="7"/>
      <c r="F65" s="7"/>
      <c r="G65" s="7"/>
      <c r="H65" s="7"/>
      <c r="I65" s="9"/>
      <c r="J65" s="7"/>
      <c r="K65" s="10"/>
      <c r="L65" s="44"/>
      <c r="M65" s="10"/>
      <c r="N65" s="7"/>
      <c r="O65" s="7"/>
      <c r="P65" s="7"/>
    </row>
    <row r="66" spans="1:16" s="13" customFormat="1" x14ac:dyDescent="0.2">
      <c r="A66" s="7"/>
      <c r="B66" s="7"/>
      <c r="C66" s="7"/>
      <c r="D66" s="8"/>
      <c r="E66" s="7"/>
      <c r="F66" s="7"/>
      <c r="G66" s="7"/>
      <c r="H66" s="7"/>
      <c r="I66" s="9"/>
      <c r="J66" s="7"/>
      <c r="K66" s="10"/>
      <c r="L66" s="44"/>
      <c r="M66" s="10"/>
      <c r="N66" s="7"/>
      <c r="O66" s="7"/>
      <c r="P66" s="7"/>
    </row>
    <row r="67" spans="1:16" s="13" customFormat="1" x14ac:dyDescent="0.2">
      <c r="A67" s="7"/>
      <c r="B67" s="7"/>
      <c r="C67" s="7"/>
      <c r="D67" s="8"/>
      <c r="E67" s="7"/>
      <c r="F67" s="11"/>
      <c r="G67" s="7"/>
      <c r="H67" s="7"/>
      <c r="I67" s="9"/>
      <c r="J67" s="7"/>
      <c r="K67" s="10"/>
      <c r="L67" s="44"/>
      <c r="M67" s="10"/>
      <c r="N67" s="7"/>
      <c r="O67" s="7"/>
      <c r="P67" s="7"/>
    </row>
    <row r="68" spans="1:16" s="13" customFormat="1" x14ac:dyDescent="0.2">
      <c r="A68" s="7"/>
      <c r="B68" s="7"/>
      <c r="C68" s="7"/>
      <c r="D68" s="8"/>
      <c r="E68" s="7"/>
      <c r="F68" s="7"/>
      <c r="G68" s="7"/>
      <c r="H68" s="7"/>
      <c r="I68" s="9"/>
      <c r="J68" s="7"/>
      <c r="K68" s="10"/>
      <c r="L68" s="42"/>
      <c r="M68" s="10"/>
      <c r="N68" s="7"/>
      <c r="O68" s="7"/>
      <c r="P68" s="7"/>
    </row>
    <row r="69" spans="1:16" s="13" customFormat="1" x14ac:dyDescent="0.2">
      <c r="A69" s="7"/>
      <c r="B69" s="7"/>
      <c r="C69" s="7"/>
      <c r="D69" s="8"/>
      <c r="E69" s="7"/>
      <c r="F69" s="11"/>
      <c r="G69" s="7"/>
      <c r="H69" s="7"/>
      <c r="I69" s="9"/>
      <c r="J69" s="7"/>
      <c r="K69" s="12"/>
      <c r="L69" s="43"/>
      <c r="M69" s="10"/>
      <c r="N69" s="7"/>
      <c r="O69" s="7"/>
      <c r="P69" s="7"/>
    </row>
    <row r="70" spans="1:16" s="13" customFormat="1" x14ac:dyDescent="0.2">
      <c r="A70" s="7"/>
      <c r="B70" s="7"/>
      <c r="C70" s="7"/>
      <c r="D70" s="8"/>
      <c r="E70" s="7"/>
      <c r="F70" s="11"/>
      <c r="G70" s="7"/>
      <c r="H70" s="7"/>
      <c r="I70" s="9"/>
      <c r="J70" s="7"/>
      <c r="K70" s="10"/>
      <c r="L70" s="44"/>
      <c r="M70" s="10"/>
      <c r="N70" s="7"/>
      <c r="O70" s="7"/>
      <c r="P70" s="7"/>
    </row>
    <row r="71" spans="1:16" s="13" customFormat="1" x14ac:dyDescent="0.2">
      <c r="A71" s="7"/>
      <c r="B71" s="7"/>
      <c r="C71" s="7"/>
      <c r="D71" s="8"/>
      <c r="E71" s="7"/>
      <c r="F71" s="7"/>
      <c r="G71" s="7"/>
      <c r="H71" s="7"/>
      <c r="I71" s="9"/>
      <c r="J71" s="7"/>
      <c r="K71" s="10"/>
      <c r="L71" s="44"/>
      <c r="M71" s="10"/>
      <c r="N71" s="7"/>
      <c r="O71" s="7"/>
      <c r="P71" s="7"/>
    </row>
    <row r="72" spans="1:16" s="13" customFormat="1" x14ac:dyDescent="0.2">
      <c r="A72" s="7"/>
      <c r="B72" s="7"/>
      <c r="C72" s="7"/>
      <c r="D72" s="8"/>
      <c r="E72" s="7"/>
      <c r="F72" s="11"/>
      <c r="G72" s="7"/>
      <c r="H72" s="7"/>
      <c r="I72" s="9"/>
      <c r="J72" s="7"/>
      <c r="K72" s="10"/>
      <c r="L72" s="45"/>
      <c r="M72" s="10"/>
      <c r="N72" s="7"/>
      <c r="O72" s="7"/>
      <c r="P72" s="7"/>
    </row>
    <row r="73" spans="1:16" s="13" customFormat="1" x14ac:dyDescent="0.2">
      <c r="A73" s="7"/>
      <c r="B73" s="7"/>
      <c r="C73" s="7"/>
      <c r="D73" s="8"/>
      <c r="E73" s="7"/>
      <c r="F73" s="7"/>
      <c r="G73" s="7"/>
      <c r="H73" s="7"/>
      <c r="I73" s="9"/>
      <c r="J73" s="7"/>
      <c r="K73" s="12"/>
      <c r="L73" s="46"/>
      <c r="M73" s="10"/>
      <c r="N73" s="7"/>
      <c r="O73" s="7"/>
      <c r="P73" s="7"/>
    </row>
    <row r="74" spans="1:16" s="13" customFormat="1" x14ac:dyDescent="0.2">
      <c r="A74" s="7"/>
      <c r="B74" s="7"/>
      <c r="C74" s="7"/>
      <c r="D74" s="8"/>
      <c r="E74" s="7"/>
      <c r="F74" s="7"/>
      <c r="G74" s="7"/>
      <c r="H74" s="7"/>
      <c r="I74" s="9"/>
      <c r="J74" s="7"/>
      <c r="K74" s="10"/>
      <c r="L74" s="44"/>
      <c r="M74" s="10"/>
      <c r="N74" s="7"/>
      <c r="O74" s="7"/>
      <c r="P74" s="7"/>
    </row>
    <row r="75" spans="1:16" s="13" customFormat="1" x14ac:dyDescent="0.2">
      <c r="A75" s="7"/>
      <c r="B75" s="7"/>
      <c r="C75" s="7"/>
      <c r="D75" s="8"/>
      <c r="E75" s="7"/>
      <c r="F75" s="7"/>
      <c r="G75" s="7"/>
      <c r="H75" s="7"/>
      <c r="I75" s="9"/>
      <c r="J75" s="7"/>
      <c r="K75" s="10"/>
      <c r="L75" s="44"/>
      <c r="M75" s="10"/>
      <c r="N75" s="7"/>
      <c r="O75" s="7"/>
      <c r="P75" s="7"/>
    </row>
    <row r="76" spans="1:16" s="13" customFormat="1" x14ac:dyDescent="0.2">
      <c r="A76" s="7"/>
      <c r="B76" s="7"/>
      <c r="C76" s="7"/>
      <c r="D76" s="8"/>
      <c r="E76" s="7"/>
      <c r="F76" s="11"/>
      <c r="G76" s="7"/>
      <c r="H76" s="7"/>
      <c r="I76" s="9"/>
      <c r="J76" s="7"/>
      <c r="K76" s="10"/>
      <c r="L76" s="44"/>
      <c r="M76" s="10"/>
      <c r="N76" s="7"/>
      <c r="O76" s="7"/>
      <c r="P76" s="7"/>
    </row>
    <row r="77" spans="1:16" s="13" customFormat="1" x14ac:dyDescent="0.2">
      <c r="A77" s="7"/>
      <c r="B77" s="7"/>
      <c r="C77" s="7"/>
      <c r="D77" s="8"/>
      <c r="E77" s="7"/>
      <c r="F77" s="7"/>
      <c r="G77" s="7"/>
      <c r="H77" s="7"/>
      <c r="I77" s="9"/>
      <c r="J77" s="7"/>
      <c r="K77" s="10"/>
      <c r="L77" s="42"/>
      <c r="M77" s="10"/>
      <c r="N77" s="7"/>
      <c r="O77" s="7"/>
      <c r="P77" s="7"/>
    </row>
    <row r="78" spans="1:16" s="13" customFormat="1" x14ac:dyDescent="0.2">
      <c r="A78" s="7"/>
      <c r="B78" s="7"/>
      <c r="C78" s="7"/>
      <c r="D78" s="8"/>
      <c r="E78" s="7"/>
      <c r="F78" s="11"/>
      <c r="G78" s="7"/>
      <c r="H78" s="7"/>
      <c r="I78" s="9"/>
      <c r="J78" s="7"/>
      <c r="K78" s="12"/>
      <c r="L78" s="43"/>
      <c r="M78" s="10"/>
      <c r="N78" s="7"/>
      <c r="O78" s="7"/>
      <c r="P78" s="7"/>
    </row>
    <row r="79" spans="1:16" s="13" customFormat="1" x14ac:dyDescent="0.2">
      <c r="A79" s="7"/>
      <c r="B79" s="7"/>
      <c r="C79" s="7"/>
      <c r="D79" s="8"/>
      <c r="E79" s="7"/>
      <c r="F79" s="11"/>
      <c r="G79" s="7"/>
      <c r="H79" s="7"/>
      <c r="I79" s="9"/>
      <c r="J79" s="7"/>
      <c r="K79" s="10"/>
      <c r="L79" s="44"/>
      <c r="M79" s="10"/>
      <c r="N79" s="7"/>
      <c r="O79" s="7"/>
      <c r="P79" s="7"/>
    </row>
    <row r="80" spans="1:16" s="13" customFormat="1" x14ac:dyDescent="0.2">
      <c r="A80" s="7"/>
      <c r="B80" s="7"/>
      <c r="C80" s="7"/>
      <c r="D80" s="8"/>
      <c r="E80" s="7"/>
      <c r="F80" s="7"/>
      <c r="G80" s="7"/>
      <c r="H80" s="7"/>
      <c r="I80" s="9"/>
      <c r="J80" s="7"/>
      <c r="K80" s="10"/>
      <c r="L80" s="44"/>
      <c r="M80" s="10"/>
      <c r="N80" s="7"/>
      <c r="O80" s="7"/>
      <c r="P80" s="7"/>
    </row>
    <row r="81" spans="1:16" s="13" customFormat="1" x14ac:dyDescent="0.2">
      <c r="A81" s="7"/>
      <c r="B81" s="7"/>
      <c r="C81" s="7"/>
      <c r="D81" s="8"/>
      <c r="E81" s="7"/>
      <c r="F81" s="11"/>
      <c r="G81" s="7"/>
      <c r="H81" s="7"/>
      <c r="I81" s="9"/>
      <c r="J81" s="7"/>
      <c r="K81" s="10"/>
      <c r="L81" s="45"/>
      <c r="M81" s="10"/>
      <c r="N81" s="7"/>
      <c r="O81" s="7"/>
      <c r="P81" s="7"/>
    </row>
    <row r="82" spans="1:16" s="13" customFormat="1" x14ac:dyDescent="0.2">
      <c r="A82" s="7"/>
      <c r="B82" s="7"/>
      <c r="C82" s="7"/>
      <c r="D82" s="8"/>
      <c r="E82" s="7"/>
      <c r="F82" s="7"/>
      <c r="G82" s="7"/>
      <c r="H82" s="7"/>
      <c r="I82" s="9"/>
      <c r="J82" s="7"/>
      <c r="K82" s="12"/>
      <c r="L82" s="46"/>
      <c r="M82" s="10"/>
      <c r="N82" s="7"/>
      <c r="O82" s="7"/>
      <c r="P82" s="7"/>
    </row>
    <row r="83" spans="1:16" s="13" customFormat="1" x14ac:dyDescent="0.2">
      <c r="A83" s="7"/>
      <c r="B83" s="7"/>
      <c r="C83" s="7"/>
      <c r="D83" s="8"/>
      <c r="E83" s="7"/>
      <c r="F83" s="7"/>
      <c r="G83" s="7"/>
      <c r="H83" s="7"/>
      <c r="I83" s="9"/>
      <c r="J83" s="7"/>
      <c r="K83" s="10"/>
      <c r="L83" s="44"/>
      <c r="M83" s="10"/>
      <c r="N83" s="7"/>
      <c r="O83" s="7"/>
      <c r="P83" s="7"/>
    </row>
    <row r="84" spans="1:16" s="13" customFormat="1" x14ac:dyDescent="0.2">
      <c r="A84" s="7"/>
      <c r="B84" s="7"/>
      <c r="C84" s="7"/>
      <c r="D84" s="8"/>
      <c r="E84" s="7"/>
      <c r="F84" s="7"/>
      <c r="G84" s="7"/>
      <c r="H84" s="7"/>
      <c r="I84" s="9"/>
      <c r="J84" s="7"/>
      <c r="K84" s="10"/>
      <c r="L84" s="44"/>
      <c r="M84" s="10"/>
      <c r="N84" s="7"/>
      <c r="O84" s="7"/>
      <c r="P84" s="7"/>
    </row>
    <row r="85" spans="1:16" s="13" customFormat="1" x14ac:dyDescent="0.2">
      <c r="A85" s="7"/>
      <c r="B85" s="7"/>
      <c r="C85" s="7"/>
      <c r="D85" s="8"/>
      <c r="E85" s="7"/>
      <c r="F85" s="11"/>
      <c r="G85" s="7"/>
      <c r="H85" s="7"/>
      <c r="I85" s="9"/>
      <c r="J85" s="7"/>
      <c r="K85" s="10"/>
      <c r="L85" s="44"/>
      <c r="M85" s="10"/>
      <c r="N85" s="7"/>
      <c r="O85" s="7"/>
      <c r="P85" s="7"/>
    </row>
    <row r="86" spans="1:16" s="13" customFormat="1" x14ac:dyDescent="0.2">
      <c r="A86" s="7"/>
      <c r="B86" s="7"/>
      <c r="C86" s="7"/>
      <c r="D86" s="8"/>
      <c r="E86" s="7"/>
      <c r="F86" s="7"/>
      <c r="G86" s="7"/>
      <c r="H86" s="7"/>
      <c r="I86" s="9"/>
      <c r="J86" s="7"/>
      <c r="K86" s="10"/>
      <c r="L86" s="42"/>
      <c r="M86" s="10"/>
      <c r="N86" s="7"/>
      <c r="O86" s="7"/>
      <c r="P86" s="7"/>
    </row>
    <row r="87" spans="1:16" s="13" customFormat="1" x14ac:dyDescent="0.2">
      <c r="A87" s="7"/>
      <c r="B87" s="7"/>
      <c r="C87" s="7"/>
      <c r="D87" s="8"/>
      <c r="E87" s="7"/>
      <c r="F87" s="11"/>
      <c r="G87" s="7"/>
      <c r="H87" s="7"/>
      <c r="I87" s="9"/>
      <c r="J87" s="7"/>
      <c r="K87" s="12"/>
      <c r="L87" s="43"/>
      <c r="M87" s="10"/>
      <c r="N87" s="7"/>
      <c r="O87" s="7"/>
      <c r="P87" s="7"/>
    </row>
    <row r="88" spans="1:16" s="13" customFormat="1" x14ac:dyDescent="0.2">
      <c r="A88" s="7"/>
      <c r="B88" s="7"/>
      <c r="C88" s="7"/>
      <c r="D88" s="8"/>
      <c r="E88" s="7"/>
      <c r="F88" s="11"/>
      <c r="G88" s="7"/>
      <c r="H88" s="7"/>
      <c r="I88" s="9"/>
      <c r="J88" s="7"/>
      <c r="K88" s="10"/>
      <c r="L88" s="44"/>
      <c r="M88" s="10"/>
      <c r="N88" s="7"/>
      <c r="O88" s="7"/>
      <c r="P88" s="7"/>
    </row>
    <row r="89" spans="1:16" s="13" customFormat="1" x14ac:dyDescent="0.2">
      <c r="A89" s="7"/>
      <c r="B89" s="7"/>
      <c r="C89" s="7"/>
      <c r="D89" s="8"/>
      <c r="E89" s="7"/>
      <c r="F89" s="7"/>
      <c r="G89" s="7"/>
      <c r="H89" s="7"/>
      <c r="I89" s="9"/>
      <c r="J89" s="7"/>
      <c r="K89" s="10"/>
      <c r="L89" s="44"/>
      <c r="M89" s="10"/>
      <c r="N89" s="7"/>
      <c r="O89" s="7"/>
      <c r="P89" s="7"/>
    </row>
    <row r="90" spans="1:16" s="13" customFormat="1" x14ac:dyDescent="0.2">
      <c r="A90" s="7"/>
      <c r="B90" s="7"/>
      <c r="C90" s="7"/>
      <c r="D90" s="8"/>
      <c r="E90" s="7"/>
      <c r="F90" s="11"/>
      <c r="G90" s="7"/>
      <c r="H90" s="7"/>
      <c r="I90" s="9"/>
      <c r="J90" s="7"/>
      <c r="K90" s="10"/>
      <c r="L90" s="45"/>
      <c r="M90" s="10"/>
      <c r="N90" s="7"/>
      <c r="O90" s="7"/>
      <c r="P90" s="7"/>
    </row>
    <row r="91" spans="1:16" s="13" customFormat="1" x14ac:dyDescent="0.2">
      <c r="A91" s="7"/>
      <c r="B91" s="7"/>
      <c r="C91" s="7"/>
      <c r="D91" s="8"/>
      <c r="E91" s="7"/>
      <c r="F91" s="7"/>
      <c r="G91" s="7"/>
      <c r="H91" s="7"/>
      <c r="I91" s="9"/>
      <c r="J91" s="7"/>
      <c r="K91" s="12"/>
      <c r="L91" s="46"/>
      <c r="M91" s="10"/>
      <c r="N91" s="7"/>
      <c r="O91" s="7"/>
      <c r="P91" s="7"/>
    </row>
    <row r="92" spans="1:16" s="13" customFormat="1" x14ac:dyDescent="0.2">
      <c r="A92" s="7"/>
      <c r="B92" s="7"/>
      <c r="C92" s="7"/>
      <c r="D92" s="8"/>
      <c r="E92" s="7"/>
      <c r="F92" s="7"/>
      <c r="G92" s="7"/>
      <c r="H92" s="7"/>
      <c r="I92" s="9"/>
      <c r="J92" s="7"/>
      <c r="K92" s="10"/>
      <c r="L92" s="44"/>
      <c r="M92" s="10"/>
      <c r="N92" s="7"/>
      <c r="O92" s="7"/>
      <c r="P92" s="7"/>
    </row>
    <row r="93" spans="1:16" s="13" customFormat="1" x14ac:dyDescent="0.25">
      <c r="A93" s="16"/>
      <c r="B93" s="16"/>
      <c r="C93" s="16"/>
      <c r="D93" s="16"/>
      <c r="E93" s="16"/>
      <c r="F93" s="16"/>
      <c r="G93" s="16"/>
      <c r="H93" s="16"/>
      <c r="I93" s="16"/>
      <c r="J93" s="16"/>
      <c r="K93" s="16"/>
      <c r="L93" s="47"/>
      <c r="M93" s="16"/>
      <c r="N93" s="16"/>
      <c r="O93" s="16"/>
      <c r="P93" s="16"/>
    </row>
    <row r="94" spans="1:16" s="13" customFormat="1" x14ac:dyDescent="0.25">
      <c r="A94" s="16"/>
      <c r="B94" s="16"/>
      <c r="C94" s="16"/>
      <c r="D94" s="16"/>
      <c r="E94" s="16"/>
      <c r="F94" s="16"/>
      <c r="G94" s="16"/>
      <c r="H94" s="16"/>
      <c r="I94" s="16"/>
      <c r="J94" s="16"/>
      <c r="K94" s="16"/>
      <c r="L94" s="47"/>
      <c r="M94" s="16"/>
      <c r="N94" s="16"/>
      <c r="O94" s="16"/>
      <c r="P94" s="16"/>
    </row>
    <row r="95" spans="1:16" s="13" customFormat="1" x14ac:dyDescent="0.25">
      <c r="A95" s="16"/>
      <c r="B95" s="16"/>
      <c r="C95" s="16"/>
      <c r="D95" s="16"/>
      <c r="E95" s="16"/>
      <c r="F95" s="16"/>
      <c r="G95" s="16"/>
      <c r="H95" s="16"/>
      <c r="I95" s="16"/>
      <c r="J95" s="16"/>
      <c r="K95" s="16"/>
      <c r="L95" s="47"/>
      <c r="M95" s="16"/>
      <c r="N95" s="16"/>
      <c r="O95" s="16"/>
      <c r="P95" s="16"/>
    </row>
    <row r="96" spans="1:16" s="13" customFormat="1" x14ac:dyDescent="0.25">
      <c r="A96" s="16"/>
      <c r="B96" s="16"/>
      <c r="C96" s="16"/>
      <c r="D96" s="16"/>
      <c r="E96" s="16"/>
      <c r="F96" s="16"/>
      <c r="G96" s="16"/>
      <c r="H96" s="16"/>
      <c r="I96" s="16"/>
      <c r="J96" s="16"/>
      <c r="K96" s="16"/>
      <c r="L96" s="47"/>
      <c r="M96" s="16"/>
      <c r="N96" s="16"/>
      <c r="O96" s="16"/>
      <c r="P96" s="16"/>
    </row>
    <row r="97" spans="1:16" s="13" customFormat="1" x14ac:dyDescent="0.25">
      <c r="A97" s="16"/>
      <c r="B97" s="16"/>
      <c r="C97" s="16"/>
      <c r="D97" s="16"/>
      <c r="E97" s="16"/>
      <c r="F97" s="16"/>
      <c r="G97" s="16"/>
      <c r="H97" s="16"/>
      <c r="I97" s="16"/>
      <c r="J97" s="16"/>
      <c r="K97" s="16"/>
      <c r="L97" s="47"/>
      <c r="M97" s="16"/>
      <c r="N97" s="16"/>
      <c r="O97" s="16"/>
      <c r="P97" s="16"/>
    </row>
    <row r="98" spans="1:16" s="13" customFormat="1" x14ac:dyDescent="0.25">
      <c r="A98" s="16"/>
      <c r="B98" s="16"/>
      <c r="C98" s="16"/>
      <c r="D98" s="16"/>
      <c r="E98" s="16"/>
      <c r="F98" s="16"/>
      <c r="G98" s="16"/>
      <c r="H98" s="16"/>
      <c r="I98" s="16"/>
      <c r="J98" s="16"/>
      <c r="K98" s="16"/>
      <c r="L98" s="47"/>
      <c r="M98" s="16"/>
      <c r="N98" s="16"/>
      <c r="O98" s="16"/>
      <c r="P98" s="16"/>
    </row>
    <row r="99" spans="1:16" s="13" customFormat="1" x14ac:dyDescent="0.25">
      <c r="A99" s="16"/>
      <c r="B99" s="16"/>
      <c r="C99" s="16"/>
      <c r="D99" s="16"/>
      <c r="E99" s="16"/>
      <c r="F99" s="16"/>
      <c r="G99" s="16"/>
      <c r="H99" s="16"/>
      <c r="I99" s="16"/>
      <c r="J99" s="16"/>
      <c r="K99" s="16"/>
      <c r="L99" s="47"/>
      <c r="M99" s="16"/>
      <c r="N99" s="16"/>
      <c r="O99" s="16"/>
      <c r="P99" s="16"/>
    </row>
    <row r="100" spans="1:16" s="13" customFormat="1" x14ac:dyDescent="0.25">
      <c r="A100" s="16"/>
      <c r="B100" s="16"/>
      <c r="C100" s="16"/>
      <c r="D100" s="16"/>
      <c r="E100" s="16"/>
      <c r="F100" s="16"/>
      <c r="G100" s="16"/>
      <c r="H100" s="16"/>
      <c r="I100" s="16"/>
      <c r="J100" s="16"/>
      <c r="K100" s="16"/>
      <c r="L100" s="47"/>
      <c r="M100" s="16"/>
      <c r="N100" s="16"/>
      <c r="O100" s="16"/>
      <c r="P100" s="16"/>
    </row>
    <row r="101" spans="1:16" s="13" customFormat="1" x14ac:dyDescent="0.25">
      <c r="A101" s="16"/>
      <c r="B101" s="16"/>
      <c r="C101" s="16"/>
      <c r="D101" s="16"/>
      <c r="E101" s="16"/>
      <c r="F101" s="16"/>
      <c r="G101" s="16"/>
      <c r="H101" s="16"/>
      <c r="I101" s="16"/>
      <c r="J101" s="16"/>
      <c r="K101" s="16"/>
      <c r="L101" s="47"/>
      <c r="M101" s="16"/>
      <c r="N101" s="16"/>
      <c r="O101" s="16"/>
      <c r="P101" s="16"/>
    </row>
    <row r="102" spans="1:16" s="13" customFormat="1" x14ac:dyDescent="0.25">
      <c r="A102" s="16"/>
      <c r="B102" s="16"/>
      <c r="C102" s="16"/>
      <c r="D102" s="16"/>
      <c r="E102" s="16"/>
      <c r="F102" s="16"/>
      <c r="G102" s="16"/>
      <c r="H102" s="16"/>
      <c r="I102" s="16"/>
      <c r="J102" s="16"/>
      <c r="K102" s="16"/>
      <c r="L102" s="47"/>
      <c r="M102" s="16"/>
      <c r="N102" s="16"/>
      <c r="O102" s="16"/>
      <c r="P102" s="16"/>
    </row>
    <row r="103" spans="1:16" s="13" customFormat="1" x14ac:dyDescent="0.25">
      <c r="A103" s="16"/>
      <c r="B103" s="16"/>
      <c r="C103" s="16"/>
      <c r="D103" s="16"/>
      <c r="E103" s="16"/>
      <c r="F103" s="16"/>
      <c r="G103" s="16"/>
      <c r="H103" s="16"/>
      <c r="I103" s="16"/>
      <c r="J103" s="16"/>
      <c r="K103" s="16"/>
      <c r="L103" s="47"/>
      <c r="M103" s="16"/>
      <c r="N103" s="16"/>
      <c r="O103" s="16"/>
      <c r="P103" s="16"/>
    </row>
    <row r="104" spans="1:16" s="13" customFormat="1" x14ac:dyDescent="0.25">
      <c r="A104" s="16"/>
      <c r="B104" s="16"/>
      <c r="C104" s="16"/>
      <c r="D104" s="16"/>
      <c r="E104" s="16"/>
      <c r="F104" s="16"/>
      <c r="G104" s="16"/>
      <c r="H104" s="16"/>
      <c r="I104" s="16"/>
      <c r="J104" s="16"/>
      <c r="K104" s="16"/>
      <c r="L104" s="47"/>
      <c r="M104" s="16"/>
      <c r="N104" s="16"/>
      <c r="O104" s="16"/>
      <c r="P104" s="16"/>
    </row>
    <row r="105" spans="1:16" s="13" customFormat="1" x14ac:dyDescent="0.25">
      <c r="A105" s="16"/>
      <c r="B105" s="16"/>
      <c r="C105" s="16"/>
      <c r="D105" s="16"/>
      <c r="E105" s="16"/>
      <c r="F105" s="16"/>
      <c r="G105" s="16"/>
      <c r="H105" s="16"/>
      <c r="I105" s="16"/>
      <c r="J105" s="16"/>
      <c r="K105" s="16"/>
      <c r="L105" s="47"/>
      <c r="M105" s="16"/>
      <c r="N105" s="16"/>
      <c r="O105" s="16"/>
      <c r="P105" s="16"/>
    </row>
    <row r="106" spans="1:16" s="13" customFormat="1" x14ac:dyDescent="0.25">
      <c r="A106" s="16"/>
      <c r="B106" s="16"/>
      <c r="C106" s="16"/>
      <c r="D106" s="16"/>
      <c r="E106" s="16"/>
      <c r="F106" s="16"/>
      <c r="G106" s="16"/>
      <c r="H106" s="16"/>
      <c r="I106" s="16"/>
      <c r="J106" s="16"/>
      <c r="K106" s="16"/>
      <c r="L106" s="47"/>
      <c r="M106" s="16"/>
      <c r="N106" s="16"/>
      <c r="O106" s="16"/>
      <c r="P106" s="16"/>
    </row>
    <row r="107" spans="1:16" s="13" customFormat="1" x14ac:dyDescent="0.25">
      <c r="A107" s="16"/>
      <c r="B107" s="16"/>
      <c r="C107" s="16"/>
      <c r="D107" s="16"/>
      <c r="E107" s="16"/>
      <c r="F107" s="16"/>
      <c r="G107" s="16"/>
      <c r="H107" s="16"/>
      <c r="I107" s="16"/>
      <c r="J107" s="16"/>
      <c r="K107" s="16"/>
      <c r="L107" s="47"/>
      <c r="M107" s="16"/>
      <c r="N107" s="16"/>
      <c r="O107" s="16"/>
      <c r="P107" s="16"/>
    </row>
    <row r="108" spans="1:16" s="13" customFormat="1" x14ac:dyDescent="0.25">
      <c r="A108" s="16"/>
      <c r="B108" s="16"/>
      <c r="C108" s="16"/>
      <c r="D108" s="16"/>
      <c r="E108" s="16"/>
      <c r="F108" s="16"/>
      <c r="G108" s="16"/>
      <c r="H108" s="16"/>
      <c r="I108" s="16"/>
      <c r="J108" s="16"/>
      <c r="K108" s="16"/>
      <c r="L108" s="47"/>
      <c r="M108" s="16"/>
      <c r="N108" s="16"/>
      <c r="O108" s="16"/>
      <c r="P108" s="16"/>
    </row>
    <row r="109" spans="1:16" s="13" customFormat="1" x14ac:dyDescent="0.25">
      <c r="A109" s="16"/>
      <c r="B109" s="16"/>
      <c r="C109" s="16"/>
      <c r="D109" s="16"/>
      <c r="E109" s="16"/>
      <c r="F109" s="16"/>
      <c r="G109" s="16"/>
      <c r="H109" s="16"/>
      <c r="I109" s="16"/>
      <c r="J109" s="16"/>
      <c r="K109" s="16"/>
      <c r="L109" s="47"/>
      <c r="M109" s="16"/>
      <c r="N109" s="16"/>
      <c r="O109" s="16"/>
      <c r="P109" s="16"/>
    </row>
    <row r="110" spans="1:16" s="13" customFormat="1" x14ac:dyDescent="0.25">
      <c r="A110" s="16"/>
      <c r="B110" s="16"/>
      <c r="C110" s="16"/>
      <c r="D110" s="16"/>
      <c r="E110" s="16"/>
      <c r="F110" s="16"/>
      <c r="G110" s="16"/>
      <c r="H110" s="16"/>
      <c r="I110" s="16"/>
      <c r="J110" s="16"/>
      <c r="K110" s="16"/>
      <c r="L110" s="47"/>
      <c r="M110" s="16"/>
      <c r="N110" s="16"/>
      <c r="O110" s="16"/>
      <c r="P110" s="16"/>
    </row>
    <row r="111" spans="1:16" s="13" customFormat="1" x14ac:dyDescent="0.25">
      <c r="A111" s="16"/>
      <c r="B111" s="16"/>
      <c r="C111" s="16"/>
      <c r="D111" s="16"/>
      <c r="E111" s="16"/>
      <c r="F111" s="16"/>
      <c r="G111" s="16"/>
      <c r="H111" s="16"/>
      <c r="I111" s="16"/>
      <c r="J111" s="16"/>
      <c r="K111" s="16"/>
      <c r="L111" s="47"/>
      <c r="M111" s="16"/>
      <c r="N111" s="16"/>
      <c r="O111" s="16"/>
      <c r="P111" s="16"/>
    </row>
    <row r="112" spans="1:16" s="13" customFormat="1" x14ac:dyDescent="0.25">
      <c r="A112" s="16"/>
      <c r="B112" s="16"/>
      <c r="C112" s="16"/>
      <c r="D112" s="16"/>
      <c r="E112" s="16"/>
      <c r="F112" s="16"/>
      <c r="G112" s="16"/>
      <c r="H112" s="16"/>
      <c r="I112" s="16"/>
      <c r="J112" s="16"/>
      <c r="K112" s="16"/>
      <c r="L112" s="47"/>
      <c r="M112" s="16"/>
      <c r="N112" s="16"/>
      <c r="O112" s="16"/>
      <c r="P112" s="16"/>
    </row>
    <row r="113" spans="1:16" s="13" customFormat="1" x14ac:dyDescent="0.25">
      <c r="A113" s="16"/>
      <c r="B113" s="16"/>
      <c r="C113" s="16"/>
      <c r="D113" s="16"/>
      <c r="E113" s="16"/>
      <c r="F113" s="16"/>
      <c r="G113" s="16"/>
      <c r="H113" s="16"/>
      <c r="I113" s="16"/>
      <c r="J113" s="16"/>
      <c r="K113" s="16"/>
      <c r="L113" s="47"/>
      <c r="M113" s="16"/>
      <c r="N113" s="16"/>
      <c r="O113" s="16"/>
      <c r="P113" s="16"/>
    </row>
    <row r="114" spans="1:16" s="13" customFormat="1" x14ac:dyDescent="0.25">
      <c r="A114" s="16"/>
      <c r="B114" s="16"/>
      <c r="C114" s="16"/>
      <c r="D114" s="16"/>
      <c r="E114" s="16"/>
      <c r="F114" s="16"/>
      <c r="G114" s="16"/>
      <c r="H114" s="16"/>
      <c r="I114" s="16"/>
      <c r="J114" s="16"/>
      <c r="K114" s="16"/>
      <c r="L114" s="47"/>
      <c r="M114" s="16"/>
      <c r="N114" s="16"/>
      <c r="O114" s="16"/>
      <c r="P114" s="16"/>
    </row>
    <row r="115" spans="1:16" s="13" customFormat="1" x14ac:dyDescent="0.25">
      <c r="A115" s="16"/>
      <c r="B115" s="16"/>
      <c r="C115" s="16"/>
      <c r="D115" s="16"/>
      <c r="E115" s="16"/>
      <c r="F115" s="16"/>
      <c r="G115" s="16"/>
      <c r="H115" s="16"/>
      <c r="I115" s="16"/>
      <c r="J115" s="16"/>
      <c r="K115" s="16"/>
      <c r="L115" s="47"/>
      <c r="M115" s="16"/>
      <c r="N115" s="16"/>
      <c r="O115" s="16"/>
      <c r="P115" s="16"/>
    </row>
    <row r="116" spans="1:16" s="13" customFormat="1" x14ac:dyDescent="0.25">
      <c r="A116" s="16"/>
      <c r="B116" s="16"/>
      <c r="C116" s="16"/>
      <c r="D116" s="16"/>
      <c r="E116" s="16"/>
      <c r="F116" s="16"/>
      <c r="G116" s="16"/>
      <c r="H116" s="16"/>
      <c r="I116" s="16"/>
      <c r="J116" s="16"/>
      <c r="K116" s="16"/>
      <c r="L116" s="47"/>
      <c r="M116" s="16"/>
      <c r="N116" s="16"/>
      <c r="O116" s="16"/>
      <c r="P116" s="16"/>
    </row>
    <row r="117" spans="1:16" s="13" customFormat="1" x14ac:dyDescent="0.25">
      <c r="A117" s="16"/>
      <c r="B117" s="16"/>
      <c r="C117" s="16"/>
      <c r="D117" s="16"/>
      <c r="E117" s="16"/>
      <c r="F117" s="16"/>
      <c r="G117" s="16"/>
      <c r="H117" s="16"/>
      <c r="I117" s="16"/>
      <c r="J117" s="16"/>
      <c r="K117" s="16"/>
      <c r="L117" s="47"/>
      <c r="M117" s="16"/>
      <c r="N117" s="16"/>
      <c r="O117" s="16"/>
      <c r="P117" s="16"/>
    </row>
    <row r="118" spans="1:16" s="13" customFormat="1" x14ac:dyDescent="0.25">
      <c r="A118" s="16"/>
      <c r="B118" s="16"/>
      <c r="C118" s="16"/>
      <c r="D118" s="16"/>
      <c r="E118" s="16"/>
      <c r="F118" s="16"/>
      <c r="G118" s="16"/>
      <c r="H118" s="16"/>
      <c r="I118" s="16"/>
      <c r="J118" s="16"/>
      <c r="K118" s="16"/>
      <c r="L118" s="47"/>
      <c r="M118" s="16"/>
      <c r="N118" s="16"/>
      <c r="O118" s="16"/>
      <c r="P118" s="16"/>
    </row>
    <row r="119" spans="1:16" s="13" customFormat="1" x14ac:dyDescent="0.25">
      <c r="A119" s="16"/>
      <c r="B119" s="16"/>
      <c r="C119" s="16"/>
      <c r="D119" s="16"/>
      <c r="E119" s="16"/>
      <c r="F119" s="16"/>
      <c r="G119" s="16"/>
      <c r="H119" s="16"/>
      <c r="I119" s="16"/>
      <c r="J119" s="16"/>
      <c r="K119" s="16"/>
      <c r="L119" s="47"/>
      <c r="M119" s="16"/>
      <c r="N119" s="16"/>
      <c r="O119" s="16"/>
      <c r="P119" s="16"/>
    </row>
    <row r="120" spans="1:16" s="13" customFormat="1" x14ac:dyDescent="0.25">
      <c r="A120" s="16"/>
      <c r="B120" s="16"/>
      <c r="C120" s="16"/>
      <c r="D120" s="16"/>
      <c r="E120" s="16"/>
      <c r="F120" s="16"/>
      <c r="G120" s="16"/>
      <c r="H120" s="16"/>
      <c r="I120" s="16"/>
      <c r="J120" s="16"/>
      <c r="K120" s="16"/>
      <c r="L120" s="47"/>
      <c r="M120" s="16"/>
      <c r="N120" s="16"/>
      <c r="O120" s="16"/>
      <c r="P120" s="16"/>
    </row>
    <row r="121" spans="1:16" s="13" customFormat="1" x14ac:dyDescent="0.25">
      <c r="A121" s="16"/>
      <c r="B121" s="16"/>
      <c r="C121" s="16"/>
      <c r="D121" s="16"/>
      <c r="E121" s="16"/>
      <c r="F121" s="16"/>
      <c r="G121" s="16"/>
      <c r="H121" s="16"/>
      <c r="I121" s="16"/>
      <c r="J121" s="16"/>
      <c r="K121" s="16"/>
      <c r="L121" s="47"/>
      <c r="M121" s="16"/>
      <c r="N121" s="16"/>
      <c r="O121" s="16"/>
      <c r="P121" s="16"/>
    </row>
    <row r="122" spans="1:16" s="13" customFormat="1" x14ac:dyDescent="0.25">
      <c r="A122" s="16"/>
      <c r="B122" s="16"/>
      <c r="C122" s="16"/>
      <c r="D122" s="16"/>
      <c r="E122" s="16"/>
      <c r="F122" s="16"/>
      <c r="G122" s="16"/>
      <c r="H122" s="16"/>
      <c r="I122" s="16"/>
      <c r="J122" s="16"/>
      <c r="K122" s="16"/>
      <c r="L122" s="47"/>
      <c r="M122" s="16"/>
      <c r="N122" s="16"/>
      <c r="O122" s="16"/>
      <c r="P122" s="16"/>
    </row>
    <row r="123" spans="1:16" s="13" customFormat="1" x14ac:dyDescent="0.25">
      <c r="A123" s="16"/>
      <c r="B123" s="16"/>
      <c r="C123" s="16"/>
      <c r="D123" s="16"/>
      <c r="E123" s="16"/>
      <c r="F123" s="16"/>
      <c r="G123" s="16"/>
      <c r="H123" s="16"/>
      <c r="I123" s="16"/>
      <c r="J123" s="16"/>
      <c r="K123" s="16"/>
      <c r="L123" s="47"/>
      <c r="M123" s="16"/>
      <c r="N123" s="16"/>
      <c r="O123" s="16"/>
      <c r="P123" s="16"/>
    </row>
    <row r="124" spans="1:16" s="13" customFormat="1" x14ac:dyDescent="0.25">
      <c r="A124" s="16"/>
      <c r="B124" s="16"/>
      <c r="C124" s="16"/>
      <c r="D124" s="16"/>
      <c r="E124" s="16"/>
      <c r="F124" s="16"/>
      <c r="G124" s="16"/>
      <c r="H124" s="16"/>
      <c r="I124" s="16"/>
      <c r="J124" s="16"/>
      <c r="K124" s="16"/>
      <c r="L124" s="47"/>
      <c r="M124" s="16"/>
      <c r="N124" s="16"/>
      <c r="O124" s="16"/>
      <c r="P124" s="16"/>
    </row>
    <row r="125" spans="1:16" x14ac:dyDescent="0.25">
      <c r="A125"/>
      <c r="B125"/>
      <c r="C125"/>
      <c r="D125"/>
      <c r="E125"/>
      <c r="F125"/>
      <c r="G125"/>
      <c r="H125"/>
      <c r="I125"/>
      <c r="J125"/>
      <c r="K125"/>
      <c r="L125" s="48"/>
      <c r="M125"/>
      <c r="N125"/>
      <c r="O125"/>
      <c r="P125"/>
    </row>
    <row r="126" spans="1:16" x14ac:dyDescent="0.25">
      <c r="A126"/>
      <c r="B126"/>
      <c r="C126"/>
      <c r="D126"/>
      <c r="E126"/>
      <c r="F126"/>
      <c r="G126"/>
      <c r="H126"/>
      <c r="I126"/>
      <c r="J126"/>
      <c r="K126"/>
      <c r="L126" s="48"/>
      <c r="M126"/>
      <c r="N126"/>
      <c r="O126"/>
      <c r="P126"/>
    </row>
    <row r="127" spans="1:16" x14ac:dyDescent="0.25">
      <c r="A127"/>
      <c r="B127"/>
      <c r="C127"/>
      <c r="D127"/>
      <c r="E127"/>
      <c r="F127"/>
      <c r="G127"/>
      <c r="H127"/>
      <c r="I127"/>
      <c r="J127"/>
      <c r="K127"/>
      <c r="L127" s="48"/>
      <c r="M127"/>
      <c r="N127"/>
      <c r="O127"/>
      <c r="P127"/>
    </row>
    <row r="128" spans="1:16" x14ac:dyDescent="0.25">
      <c r="A128"/>
      <c r="B128"/>
      <c r="C128"/>
      <c r="D128"/>
      <c r="E128"/>
      <c r="F128"/>
      <c r="G128"/>
      <c r="H128"/>
      <c r="I128"/>
      <c r="J128"/>
      <c r="K128"/>
      <c r="L128" s="48"/>
      <c r="M128"/>
      <c r="N128"/>
      <c r="O128"/>
      <c r="P128"/>
    </row>
    <row r="129" spans="1:16" x14ac:dyDescent="0.25">
      <c r="A129"/>
      <c r="B129"/>
      <c r="C129"/>
      <c r="D129"/>
      <c r="E129"/>
      <c r="F129"/>
      <c r="G129"/>
      <c r="H129"/>
      <c r="I129"/>
      <c r="J129"/>
      <c r="K129"/>
      <c r="L129" s="48"/>
      <c r="M129"/>
      <c r="N129"/>
      <c r="O129"/>
      <c r="P129"/>
    </row>
    <row r="130" spans="1:16" x14ac:dyDescent="0.25">
      <c r="A130"/>
      <c r="B130"/>
      <c r="C130"/>
      <c r="D130"/>
      <c r="E130"/>
      <c r="F130"/>
      <c r="G130"/>
      <c r="H130"/>
      <c r="I130"/>
      <c r="J130"/>
      <c r="K130"/>
      <c r="L130" s="48"/>
      <c r="M130"/>
      <c r="N130"/>
      <c r="O130"/>
      <c r="P130"/>
    </row>
    <row r="131" spans="1:16" x14ac:dyDescent="0.25">
      <c r="A131"/>
      <c r="B131"/>
      <c r="C131"/>
      <c r="D131"/>
      <c r="E131"/>
      <c r="F131"/>
      <c r="G131"/>
      <c r="H131"/>
      <c r="I131"/>
      <c r="J131"/>
      <c r="K131"/>
      <c r="L131" s="48"/>
      <c r="M131"/>
      <c r="N131"/>
      <c r="O131"/>
      <c r="P131"/>
    </row>
    <row r="132" spans="1:16" x14ac:dyDescent="0.25">
      <c r="A132"/>
      <c r="B132"/>
      <c r="C132"/>
      <c r="D132"/>
      <c r="E132"/>
      <c r="F132"/>
      <c r="G132"/>
      <c r="H132"/>
      <c r="I132"/>
      <c r="J132"/>
      <c r="K132"/>
      <c r="L132" s="48"/>
      <c r="M132"/>
      <c r="N132"/>
      <c r="O132"/>
      <c r="P132"/>
    </row>
    <row r="133" spans="1:16" x14ac:dyDescent="0.25">
      <c r="A133"/>
      <c r="B133"/>
      <c r="C133"/>
      <c r="D133"/>
      <c r="E133"/>
      <c r="F133"/>
      <c r="G133"/>
      <c r="H133"/>
      <c r="I133"/>
      <c r="J133"/>
      <c r="K133"/>
      <c r="L133" s="48"/>
      <c r="M133"/>
      <c r="N133"/>
      <c r="O133"/>
      <c r="P133"/>
    </row>
    <row r="134" spans="1:16" x14ac:dyDescent="0.25">
      <c r="A134"/>
      <c r="B134"/>
      <c r="C134"/>
      <c r="D134"/>
      <c r="E134"/>
      <c r="F134"/>
      <c r="G134"/>
      <c r="H134"/>
      <c r="I134"/>
      <c r="J134"/>
      <c r="K134"/>
      <c r="L134" s="48"/>
      <c r="M134"/>
      <c r="N134"/>
      <c r="O134"/>
      <c r="P134"/>
    </row>
    <row r="135" spans="1:16" x14ac:dyDescent="0.25">
      <c r="A135"/>
      <c r="B135"/>
      <c r="C135"/>
      <c r="D135"/>
      <c r="E135"/>
      <c r="F135"/>
      <c r="G135"/>
      <c r="H135"/>
      <c r="I135"/>
      <c r="J135"/>
      <c r="K135"/>
      <c r="L135" s="48"/>
      <c r="M135"/>
      <c r="N135"/>
      <c r="O135"/>
      <c r="P135"/>
    </row>
    <row r="136" spans="1:16" x14ac:dyDescent="0.25">
      <c r="A136"/>
      <c r="B136"/>
      <c r="C136"/>
      <c r="D136"/>
      <c r="E136"/>
      <c r="F136"/>
      <c r="G136"/>
      <c r="H136"/>
      <c r="I136"/>
      <c r="J136"/>
      <c r="K136"/>
      <c r="L136" s="48"/>
      <c r="M136"/>
      <c r="N136"/>
      <c r="O136"/>
      <c r="P136"/>
    </row>
    <row r="137" spans="1:16" x14ac:dyDescent="0.25">
      <c r="A137"/>
      <c r="B137"/>
      <c r="C137"/>
      <c r="D137"/>
      <c r="E137"/>
      <c r="F137"/>
      <c r="G137"/>
      <c r="H137"/>
      <c r="I137"/>
      <c r="J137"/>
      <c r="K137"/>
      <c r="L137" s="48"/>
      <c r="M137"/>
      <c r="N137"/>
      <c r="O137"/>
      <c r="P137"/>
    </row>
    <row r="138" spans="1:16" x14ac:dyDescent="0.25">
      <c r="A138"/>
      <c r="B138"/>
      <c r="C138"/>
      <c r="D138"/>
      <c r="E138"/>
      <c r="F138"/>
      <c r="G138"/>
      <c r="H138"/>
      <c r="I138"/>
      <c r="J138"/>
      <c r="K138"/>
      <c r="L138" s="48"/>
      <c r="M138"/>
      <c r="N138"/>
      <c r="O138"/>
      <c r="P138"/>
    </row>
    <row r="139" spans="1:16" x14ac:dyDescent="0.25">
      <c r="A139"/>
      <c r="B139"/>
      <c r="C139"/>
      <c r="D139"/>
      <c r="E139"/>
      <c r="F139"/>
      <c r="G139"/>
      <c r="H139"/>
      <c r="I139"/>
      <c r="J139"/>
      <c r="K139"/>
      <c r="L139" s="48"/>
      <c r="M139"/>
      <c r="N139"/>
      <c r="O139"/>
      <c r="P139"/>
    </row>
    <row r="140" spans="1:16" x14ac:dyDescent="0.25">
      <c r="A140"/>
      <c r="B140"/>
      <c r="C140"/>
      <c r="D140"/>
      <c r="E140"/>
      <c r="F140"/>
      <c r="G140"/>
      <c r="H140"/>
      <c r="I140"/>
      <c r="J140"/>
      <c r="K140"/>
      <c r="L140" s="48"/>
      <c r="M140"/>
      <c r="N140"/>
      <c r="O140"/>
      <c r="P140"/>
    </row>
    <row r="141" spans="1:16" x14ac:dyDescent="0.25">
      <c r="A141"/>
      <c r="B141"/>
      <c r="C141"/>
      <c r="D141"/>
      <c r="E141"/>
      <c r="F141"/>
      <c r="G141"/>
      <c r="H141"/>
      <c r="I141"/>
      <c r="J141"/>
      <c r="K141"/>
      <c r="L141" s="48"/>
      <c r="M141"/>
      <c r="N141"/>
      <c r="O141"/>
      <c r="P141"/>
    </row>
    <row r="142" spans="1:16" x14ac:dyDescent="0.25">
      <c r="A142"/>
      <c r="B142"/>
      <c r="C142"/>
      <c r="D142"/>
      <c r="E142"/>
      <c r="F142"/>
      <c r="G142"/>
      <c r="H142"/>
      <c r="I142"/>
      <c r="J142"/>
      <c r="K142"/>
      <c r="L142" s="48"/>
      <c r="M142"/>
      <c r="N142"/>
      <c r="O142"/>
      <c r="P142"/>
    </row>
    <row r="143" spans="1:16" x14ac:dyDescent="0.25">
      <c r="A143"/>
      <c r="B143"/>
      <c r="C143"/>
      <c r="D143"/>
      <c r="E143"/>
      <c r="F143"/>
      <c r="G143"/>
      <c r="H143"/>
      <c r="I143"/>
      <c r="J143"/>
      <c r="K143"/>
      <c r="L143" s="48"/>
      <c r="M143"/>
      <c r="N143"/>
      <c r="O143"/>
      <c r="P143"/>
    </row>
    <row r="144" spans="1:16" x14ac:dyDescent="0.25">
      <c r="A144"/>
      <c r="B144"/>
      <c r="C144"/>
      <c r="D144"/>
      <c r="E144"/>
      <c r="F144"/>
      <c r="G144"/>
      <c r="H144"/>
      <c r="I144"/>
      <c r="J144"/>
      <c r="K144"/>
      <c r="L144" s="48"/>
      <c r="M144"/>
      <c r="N144"/>
      <c r="O144"/>
      <c r="P144"/>
    </row>
    <row r="145" spans="1:16" x14ac:dyDescent="0.25">
      <c r="A145"/>
      <c r="B145"/>
      <c r="C145"/>
      <c r="D145"/>
      <c r="E145"/>
      <c r="F145"/>
      <c r="G145"/>
      <c r="H145"/>
      <c r="I145"/>
      <c r="J145"/>
      <c r="K145"/>
      <c r="L145" s="48"/>
      <c r="M145"/>
      <c r="N145"/>
      <c r="O145"/>
      <c r="P145"/>
    </row>
    <row r="146" spans="1:16" x14ac:dyDescent="0.25">
      <c r="A146"/>
      <c r="B146"/>
      <c r="C146"/>
      <c r="D146"/>
      <c r="E146"/>
      <c r="F146"/>
      <c r="G146"/>
      <c r="H146"/>
      <c r="I146"/>
      <c r="J146"/>
      <c r="K146"/>
      <c r="L146" s="48"/>
      <c r="M146"/>
      <c r="N146"/>
      <c r="O146"/>
      <c r="P146"/>
    </row>
    <row r="147" spans="1:16" x14ac:dyDescent="0.25">
      <c r="A147"/>
      <c r="B147"/>
      <c r="C147"/>
      <c r="D147"/>
      <c r="E147"/>
      <c r="F147"/>
      <c r="G147"/>
      <c r="H147"/>
      <c r="I147"/>
      <c r="J147"/>
      <c r="K147"/>
      <c r="L147" s="48"/>
      <c r="M147"/>
      <c r="N147"/>
      <c r="O147"/>
      <c r="P147"/>
    </row>
    <row r="148" spans="1:16" x14ac:dyDescent="0.25">
      <c r="A148"/>
      <c r="B148"/>
      <c r="C148"/>
      <c r="D148"/>
      <c r="E148"/>
      <c r="F148"/>
      <c r="G148"/>
      <c r="H148"/>
      <c r="I148"/>
      <c r="J148"/>
      <c r="K148"/>
      <c r="L148" s="48"/>
      <c r="M148"/>
      <c r="N148"/>
      <c r="O148"/>
      <c r="P148"/>
    </row>
    <row r="149" spans="1:16" x14ac:dyDescent="0.25">
      <c r="A149"/>
      <c r="B149"/>
      <c r="C149"/>
      <c r="D149"/>
      <c r="E149"/>
      <c r="F149"/>
      <c r="G149"/>
      <c r="H149"/>
      <c r="I149"/>
      <c r="J149"/>
      <c r="K149"/>
      <c r="L149" s="48"/>
      <c r="M149"/>
      <c r="N149"/>
      <c r="O149"/>
      <c r="P149"/>
    </row>
    <row r="150" spans="1:16" x14ac:dyDescent="0.25">
      <c r="A150"/>
      <c r="B150"/>
      <c r="C150"/>
      <c r="D150"/>
      <c r="E150"/>
      <c r="F150"/>
      <c r="G150"/>
      <c r="H150"/>
      <c r="I150"/>
      <c r="J150"/>
      <c r="K150"/>
      <c r="L150" s="48"/>
      <c r="M150"/>
      <c r="N150"/>
      <c r="O150"/>
      <c r="P150"/>
    </row>
    <row r="151" spans="1:16" x14ac:dyDescent="0.25">
      <c r="A151"/>
      <c r="B151"/>
      <c r="C151"/>
      <c r="D151"/>
      <c r="E151"/>
      <c r="F151"/>
      <c r="G151"/>
      <c r="H151"/>
      <c r="I151"/>
      <c r="J151"/>
      <c r="K151"/>
      <c r="L151" s="48"/>
      <c r="M151"/>
      <c r="N151"/>
      <c r="O151"/>
      <c r="P151"/>
    </row>
    <row r="152" spans="1:16" x14ac:dyDescent="0.25">
      <c r="A152"/>
      <c r="B152"/>
      <c r="C152"/>
      <c r="D152"/>
      <c r="E152"/>
      <c r="F152"/>
      <c r="G152"/>
      <c r="H152"/>
      <c r="I152"/>
      <c r="J152"/>
      <c r="K152"/>
      <c r="L152" s="48"/>
      <c r="M152"/>
      <c r="N152"/>
      <c r="O152"/>
      <c r="P152"/>
    </row>
    <row r="153" spans="1:16" x14ac:dyDescent="0.25">
      <c r="A153"/>
      <c r="B153"/>
      <c r="C153"/>
      <c r="D153"/>
      <c r="E153"/>
      <c r="F153"/>
      <c r="G153"/>
      <c r="H153"/>
      <c r="I153"/>
      <c r="J153"/>
      <c r="K153"/>
      <c r="L153" s="48"/>
      <c r="M153"/>
      <c r="N153"/>
      <c r="O153"/>
      <c r="P153"/>
    </row>
    <row r="154" spans="1:16" x14ac:dyDescent="0.25">
      <c r="A154"/>
      <c r="B154"/>
      <c r="C154"/>
      <c r="D154"/>
      <c r="E154"/>
      <c r="F154"/>
      <c r="G154"/>
      <c r="H154"/>
      <c r="I154"/>
      <c r="J154"/>
      <c r="K154"/>
      <c r="L154" s="48"/>
      <c r="M154"/>
      <c r="N154"/>
      <c r="O154"/>
      <c r="P154"/>
    </row>
    <row r="155" spans="1:16" x14ac:dyDescent="0.25">
      <c r="A155"/>
      <c r="B155"/>
      <c r="C155"/>
      <c r="D155"/>
      <c r="E155"/>
      <c r="F155"/>
      <c r="G155"/>
      <c r="H155"/>
      <c r="I155"/>
      <c r="J155"/>
      <c r="K155"/>
      <c r="L155" s="48"/>
      <c r="M155"/>
      <c r="N155"/>
      <c r="O155"/>
      <c r="P155"/>
    </row>
    <row r="156" spans="1:16" x14ac:dyDescent="0.25">
      <c r="A156"/>
      <c r="B156"/>
      <c r="C156"/>
      <c r="D156"/>
      <c r="E156"/>
      <c r="F156"/>
      <c r="G156"/>
      <c r="H156"/>
      <c r="I156"/>
      <c r="J156"/>
      <c r="K156"/>
      <c r="L156" s="48"/>
      <c r="M156"/>
      <c r="N156"/>
      <c r="O156"/>
      <c r="P156"/>
    </row>
    <row r="157" spans="1:16" x14ac:dyDescent="0.25">
      <c r="A157"/>
      <c r="B157"/>
      <c r="C157"/>
      <c r="D157"/>
      <c r="E157"/>
      <c r="F157"/>
      <c r="G157"/>
      <c r="H157"/>
      <c r="I157"/>
      <c r="J157"/>
      <c r="K157"/>
      <c r="L157" s="48"/>
      <c r="M157"/>
      <c r="N157"/>
      <c r="O157"/>
      <c r="P157"/>
    </row>
    <row r="158" spans="1:16" x14ac:dyDescent="0.25">
      <c r="A158"/>
      <c r="B158"/>
      <c r="C158"/>
      <c r="D158"/>
      <c r="E158"/>
      <c r="F158"/>
      <c r="G158"/>
      <c r="H158"/>
      <c r="I158"/>
      <c r="J158"/>
      <c r="K158"/>
      <c r="L158" s="48"/>
      <c r="M158"/>
      <c r="N158"/>
      <c r="O158"/>
      <c r="P158"/>
    </row>
    <row r="159" spans="1:16" x14ac:dyDescent="0.25">
      <c r="A159"/>
      <c r="B159"/>
      <c r="C159"/>
      <c r="D159"/>
      <c r="E159"/>
      <c r="F159"/>
      <c r="G159"/>
      <c r="H159"/>
      <c r="I159"/>
      <c r="J159"/>
      <c r="K159"/>
      <c r="L159" s="48"/>
      <c r="M159"/>
      <c r="N159"/>
      <c r="O159"/>
      <c r="P159"/>
    </row>
    <row r="160" spans="1:16" x14ac:dyDescent="0.25">
      <c r="A160"/>
      <c r="B160"/>
      <c r="C160"/>
      <c r="D160"/>
      <c r="E160"/>
      <c r="F160"/>
      <c r="G160"/>
      <c r="H160"/>
      <c r="I160"/>
      <c r="J160"/>
      <c r="K160"/>
      <c r="L160" s="48"/>
      <c r="M160"/>
      <c r="N160"/>
      <c r="O160"/>
      <c r="P160"/>
    </row>
    <row r="161" spans="1:16" x14ac:dyDescent="0.25">
      <c r="A161"/>
      <c r="B161"/>
      <c r="C161"/>
      <c r="D161"/>
      <c r="E161"/>
      <c r="F161"/>
      <c r="G161"/>
      <c r="H161"/>
      <c r="I161"/>
      <c r="J161"/>
      <c r="K161"/>
      <c r="L161" s="48"/>
      <c r="M161"/>
      <c r="N161"/>
      <c r="O161"/>
      <c r="P161"/>
    </row>
    <row r="162" spans="1:16" x14ac:dyDescent="0.25">
      <c r="A162"/>
      <c r="B162"/>
      <c r="C162"/>
      <c r="D162"/>
      <c r="E162"/>
      <c r="F162"/>
      <c r="G162"/>
      <c r="H162"/>
      <c r="I162"/>
      <c r="J162"/>
      <c r="K162"/>
      <c r="L162" s="48"/>
      <c r="M162"/>
      <c r="N162"/>
      <c r="O162"/>
      <c r="P162"/>
    </row>
    <row r="163" spans="1:16" x14ac:dyDescent="0.25">
      <c r="A163"/>
      <c r="B163"/>
      <c r="C163"/>
      <c r="D163"/>
      <c r="E163"/>
      <c r="F163"/>
      <c r="G163"/>
      <c r="H163"/>
      <c r="I163"/>
      <c r="J163"/>
      <c r="K163"/>
      <c r="L163" s="48"/>
      <c r="M163"/>
      <c r="N163"/>
      <c r="O163"/>
      <c r="P163"/>
    </row>
    <row r="164" spans="1:16" x14ac:dyDescent="0.25">
      <c r="A164"/>
      <c r="B164"/>
      <c r="C164"/>
      <c r="D164"/>
      <c r="E164"/>
      <c r="F164"/>
      <c r="G164"/>
      <c r="H164"/>
      <c r="I164"/>
      <c r="J164"/>
      <c r="K164"/>
      <c r="L164" s="48"/>
      <c r="M164"/>
      <c r="N164"/>
      <c r="O164"/>
      <c r="P164"/>
    </row>
    <row r="165" spans="1:16" x14ac:dyDescent="0.25">
      <c r="A165"/>
      <c r="B165"/>
      <c r="C165"/>
      <c r="D165"/>
      <c r="E165"/>
      <c r="F165"/>
      <c r="G165"/>
      <c r="H165"/>
      <c r="I165"/>
      <c r="J165"/>
      <c r="K165"/>
      <c r="L165" s="48"/>
      <c r="M165"/>
      <c r="N165"/>
      <c r="O165"/>
      <c r="P165"/>
    </row>
    <row r="166" spans="1:16" x14ac:dyDescent="0.25">
      <c r="A166"/>
      <c r="B166"/>
      <c r="C166"/>
      <c r="D166"/>
      <c r="E166"/>
      <c r="F166"/>
      <c r="G166"/>
      <c r="H166"/>
      <c r="I166"/>
      <c r="J166"/>
      <c r="K166"/>
      <c r="L166" s="48"/>
      <c r="M166"/>
      <c r="N166"/>
      <c r="O166"/>
      <c r="P166"/>
    </row>
    <row r="167" spans="1:16" x14ac:dyDescent="0.25">
      <c r="A167"/>
      <c r="B167"/>
      <c r="C167"/>
      <c r="D167"/>
      <c r="E167"/>
      <c r="F167"/>
      <c r="G167"/>
      <c r="H167"/>
      <c r="I167"/>
      <c r="J167"/>
      <c r="K167"/>
      <c r="L167" s="48"/>
      <c r="M167"/>
      <c r="N167"/>
      <c r="O167"/>
      <c r="P167"/>
    </row>
    <row r="168" spans="1:16" x14ac:dyDescent="0.25">
      <c r="A168"/>
      <c r="B168"/>
      <c r="C168"/>
      <c r="D168"/>
      <c r="E168"/>
      <c r="F168"/>
      <c r="G168"/>
      <c r="H168"/>
      <c r="I168"/>
      <c r="J168"/>
      <c r="K168"/>
      <c r="L168" s="48"/>
      <c r="M168"/>
      <c r="N168"/>
      <c r="O168"/>
      <c r="P168"/>
    </row>
    <row r="169" spans="1:16" x14ac:dyDescent="0.25">
      <c r="A169"/>
      <c r="B169"/>
      <c r="C169"/>
      <c r="D169"/>
      <c r="E169"/>
      <c r="F169"/>
      <c r="G169"/>
      <c r="H169"/>
      <c r="I169"/>
      <c r="J169"/>
      <c r="K169"/>
      <c r="L169" s="48"/>
      <c r="M169"/>
      <c r="N169"/>
      <c r="O169"/>
      <c r="P169"/>
    </row>
    <row r="170" spans="1:16" x14ac:dyDescent="0.25">
      <c r="A170"/>
      <c r="B170"/>
      <c r="C170"/>
      <c r="D170"/>
      <c r="E170"/>
      <c r="F170"/>
      <c r="G170"/>
      <c r="H170"/>
      <c r="I170"/>
      <c r="J170"/>
      <c r="K170"/>
      <c r="L170" s="48"/>
      <c r="M170"/>
      <c r="N170"/>
      <c r="O170"/>
      <c r="P170"/>
    </row>
    <row r="171" spans="1:16" x14ac:dyDescent="0.25">
      <c r="A171"/>
      <c r="B171"/>
      <c r="C171"/>
      <c r="D171"/>
      <c r="E171"/>
      <c r="F171"/>
      <c r="G171"/>
      <c r="H171"/>
      <c r="I171"/>
      <c r="J171"/>
      <c r="K171"/>
      <c r="L171" s="48"/>
      <c r="M171"/>
      <c r="N171"/>
      <c r="O171"/>
      <c r="P171"/>
    </row>
    <row r="172" spans="1:16" x14ac:dyDescent="0.25">
      <c r="A172"/>
      <c r="B172"/>
      <c r="C172"/>
      <c r="D172"/>
      <c r="E172"/>
      <c r="F172"/>
      <c r="G172"/>
      <c r="H172"/>
      <c r="I172"/>
      <c r="J172"/>
      <c r="K172"/>
      <c r="L172" s="48"/>
      <c r="M172"/>
      <c r="N172"/>
      <c r="O172"/>
      <c r="P172"/>
    </row>
    <row r="173" spans="1:16" x14ac:dyDescent="0.25">
      <c r="A173"/>
      <c r="B173"/>
      <c r="C173"/>
      <c r="D173"/>
      <c r="E173"/>
      <c r="F173"/>
      <c r="G173"/>
      <c r="H173"/>
      <c r="I173"/>
      <c r="J173"/>
      <c r="K173"/>
      <c r="L173" s="48"/>
      <c r="M173"/>
      <c r="N173"/>
      <c r="O173"/>
      <c r="P173"/>
    </row>
    <row r="174" spans="1:16" x14ac:dyDescent="0.25">
      <c r="A174"/>
      <c r="B174"/>
      <c r="C174"/>
      <c r="D174"/>
      <c r="E174"/>
      <c r="F174"/>
      <c r="G174"/>
      <c r="H174"/>
      <c r="I174"/>
      <c r="J174"/>
      <c r="K174"/>
      <c r="L174" s="48"/>
      <c r="M174"/>
      <c r="N174"/>
      <c r="O174"/>
      <c r="P174"/>
    </row>
    <row r="175" spans="1:16" x14ac:dyDescent="0.25">
      <c r="A175"/>
      <c r="B175"/>
      <c r="C175"/>
      <c r="D175"/>
      <c r="E175"/>
      <c r="F175"/>
      <c r="G175"/>
      <c r="H175"/>
      <c r="I175"/>
      <c r="J175"/>
      <c r="K175"/>
      <c r="L175" s="48"/>
      <c r="M175"/>
      <c r="N175"/>
      <c r="O175"/>
      <c r="P175"/>
    </row>
    <row r="176" spans="1:16" x14ac:dyDescent="0.25">
      <c r="A176"/>
      <c r="B176"/>
      <c r="C176"/>
      <c r="D176"/>
      <c r="E176"/>
      <c r="F176"/>
      <c r="G176"/>
      <c r="H176"/>
      <c r="I176"/>
      <c r="J176"/>
      <c r="K176"/>
      <c r="L176" s="48"/>
      <c r="M176"/>
      <c r="N176"/>
      <c r="O176"/>
      <c r="P176"/>
    </row>
    <row r="177" spans="1:16" x14ac:dyDescent="0.25">
      <c r="A177"/>
      <c r="B177"/>
      <c r="C177"/>
      <c r="D177"/>
      <c r="E177"/>
      <c r="F177"/>
      <c r="G177"/>
      <c r="H177"/>
      <c r="I177"/>
      <c r="J177"/>
      <c r="K177"/>
      <c r="L177" s="48"/>
      <c r="M177"/>
      <c r="N177"/>
      <c r="O177"/>
      <c r="P177"/>
    </row>
    <row r="178" spans="1:16" x14ac:dyDescent="0.25">
      <c r="A178"/>
      <c r="B178"/>
      <c r="C178"/>
      <c r="D178"/>
      <c r="E178"/>
      <c r="F178"/>
      <c r="G178"/>
      <c r="H178"/>
      <c r="I178"/>
      <c r="J178"/>
      <c r="K178"/>
      <c r="L178" s="48"/>
      <c r="M178"/>
      <c r="N178"/>
      <c r="O178"/>
      <c r="P178"/>
    </row>
    <row r="179" spans="1:16" x14ac:dyDescent="0.25">
      <c r="A179"/>
      <c r="B179"/>
      <c r="C179"/>
      <c r="D179"/>
      <c r="E179"/>
      <c r="F179"/>
      <c r="G179"/>
      <c r="H179"/>
      <c r="I179"/>
      <c r="J179"/>
      <c r="K179"/>
      <c r="L179" s="48"/>
      <c r="M179"/>
      <c r="N179"/>
      <c r="O179"/>
      <c r="P179"/>
    </row>
    <row r="180" spans="1:16" x14ac:dyDescent="0.25">
      <c r="A180"/>
      <c r="B180"/>
      <c r="C180"/>
      <c r="D180"/>
      <c r="E180"/>
      <c r="F180"/>
      <c r="G180"/>
      <c r="H180"/>
      <c r="I180"/>
      <c r="J180"/>
      <c r="K180"/>
      <c r="L180" s="48"/>
      <c r="M180"/>
      <c r="N180"/>
      <c r="O180"/>
      <c r="P180"/>
    </row>
    <row r="181" spans="1:16" x14ac:dyDescent="0.25">
      <c r="A181"/>
      <c r="B181"/>
      <c r="C181"/>
      <c r="D181"/>
      <c r="E181"/>
      <c r="F181"/>
      <c r="G181"/>
      <c r="H181"/>
      <c r="I181"/>
      <c r="J181"/>
      <c r="K181"/>
      <c r="L181" s="48"/>
      <c r="M181"/>
      <c r="N181"/>
      <c r="O181"/>
      <c r="P181"/>
    </row>
    <row r="182" spans="1:16" x14ac:dyDescent="0.25">
      <c r="A182"/>
      <c r="B182"/>
      <c r="C182"/>
      <c r="D182"/>
      <c r="E182"/>
      <c r="F182"/>
      <c r="G182"/>
      <c r="H182"/>
      <c r="I182"/>
      <c r="J182"/>
      <c r="K182"/>
      <c r="L182" s="48"/>
      <c r="M182"/>
      <c r="N182"/>
      <c r="O182"/>
      <c r="P182"/>
    </row>
    <row r="183" spans="1:16" x14ac:dyDescent="0.25">
      <c r="A183"/>
      <c r="B183"/>
      <c r="C183"/>
      <c r="D183"/>
      <c r="E183"/>
      <c r="F183"/>
      <c r="G183"/>
      <c r="H183"/>
      <c r="I183"/>
      <c r="J183"/>
      <c r="K183"/>
      <c r="L183" s="48"/>
      <c r="M183"/>
      <c r="N183"/>
      <c r="O183"/>
      <c r="P183"/>
    </row>
    <row r="184" spans="1:16" x14ac:dyDescent="0.25">
      <c r="A184"/>
      <c r="B184"/>
      <c r="C184"/>
      <c r="D184"/>
      <c r="E184"/>
      <c r="F184"/>
      <c r="G184"/>
      <c r="H184"/>
      <c r="I184"/>
      <c r="J184"/>
      <c r="K184"/>
      <c r="L184" s="48"/>
      <c r="M184"/>
      <c r="N184"/>
      <c r="O184"/>
      <c r="P184"/>
    </row>
    <row r="185" spans="1:16" x14ac:dyDescent="0.25">
      <c r="A185"/>
      <c r="B185"/>
      <c r="C185"/>
      <c r="D185"/>
      <c r="E185"/>
      <c r="F185"/>
      <c r="G185"/>
      <c r="H185"/>
      <c r="I185"/>
      <c r="J185"/>
      <c r="K185"/>
      <c r="L185" s="48"/>
      <c r="M185"/>
      <c r="N185"/>
      <c r="O185"/>
      <c r="P185"/>
    </row>
    <row r="186" spans="1:16" x14ac:dyDescent="0.25">
      <c r="A186"/>
      <c r="B186"/>
      <c r="C186"/>
      <c r="D186"/>
      <c r="E186"/>
      <c r="F186"/>
      <c r="G186"/>
      <c r="H186"/>
      <c r="I186"/>
      <c r="J186"/>
      <c r="K186"/>
      <c r="L186" s="48"/>
      <c r="M186"/>
      <c r="N186"/>
      <c r="O186"/>
      <c r="P186"/>
    </row>
    <row r="187" spans="1:16" x14ac:dyDescent="0.25">
      <c r="A187"/>
      <c r="B187"/>
      <c r="C187"/>
      <c r="D187"/>
      <c r="E187"/>
      <c r="F187"/>
      <c r="G187"/>
      <c r="H187"/>
      <c r="I187"/>
      <c r="J187"/>
      <c r="K187"/>
      <c r="L187" s="48"/>
      <c r="M187"/>
      <c r="N187"/>
      <c r="O187"/>
      <c r="P187"/>
    </row>
    <row r="188" spans="1:16" x14ac:dyDescent="0.25">
      <c r="A188"/>
      <c r="B188"/>
      <c r="C188"/>
      <c r="D188"/>
      <c r="E188"/>
      <c r="F188"/>
      <c r="G188"/>
      <c r="H188"/>
      <c r="I188"/>
      <c r="J188"/>
      <c r="K188"/>
      <c r="L188" s="48"/>
      <c r="M188"/>
      <c r="N188"/>
      <c r="O188"/>
      <c r="P188"/>
    </row>
    <row r="189" spans="1:16" x14ac:dyDescent="0.25">
      <c r="A189"/>
      <c r="B189"/>
      <c r="C189"/>
      <c r="D189"/>
      <c r="E189"/>
      <c r="F189"/>
      <c r="G189"/>
      <c r="H189"/>
      <c r="I189"/>
      <c r="J189"/>
      <c r="K189"/>
      <c r="L189" s="48"/>
      <c r="M189"/>
      <c r="N189"/>
      <c r="O189"/>
      <c r="P189"/>
    </row>
    <row r="190" spans="1:16" x14ac:dyDescent="0.25">
      <c r="A190"/>
      <c r="B190"/>
      <c r="C190"/>
      <c r="D190"/>
      <c r="E190"/>
      <c r="F190"/>
      <c r="G190"/>
      <c r="H190"/>
      <c r="I190"/>
      <c r="J190"/>
      <c r="K190"/>
      <c r="L190" s="48"/>
      <c r="M190"/>
      <c r="N190"/>
      <c r="O190"/>
      <c r="P190"/>
    </row>
    <row r="191" spans="1:16" x14ac:dyDescent="0.25">
      <c r="A191"/>
      <c r="B191"/>
      <c r="C191"/>
      <c r="D191"/>
      <c r="E191"/>
      <c r="F191"/>
      <c r="G191"/>
      <c r="H191"/>
      <c r="I191"/>
      <c r="J191"/>
      <c r="K191"/>
      <c r="L191" s="48"/>
      <c r="M191"/>
      <c r="N191"/>
      <c r="O191"/>
      <c r="P191"/>
    </row>
    <row r="192" spans="1:16" x14ac:dyDescent="0.25">
      <c r="A192"/>
      <c r="B192"/>
      <c r="C192"/>
      <c r="D192"/>
      <c r="E192"/>
      <c r="F192"/>
      <c r="G192"/>
      <c r="H192"/>
      <c r="I192"/>
      <c r="J192"/>
      <c r="K192"/>
      <c r="L192" s="48"/>
      <c r="M192"/>
      <c r="N192"/>
      <c r="O192"/>
      <c r="P192"/>
    </row>
    <row r="193" spans="1:16" x14ac:dyDescent="0.25">
      <c r="A193"/>
      <c r="B193"/>
      <c r="C193"/>
      <c r="D193"/>
      <c r="E193"/>
      <c r="F193"/>
      <c r="G193"/>
      <c r="H193"/>
      <c r="I193"/>
      <c r="J193"/>
      <c r="K193"/>
      <c r="L193" s="48"/>
      <c r="M193"/>
      <c r="N193"/>
      <c r="O193"/>
      <c r="P193"/>
    </row>
    <row r="194" spans="1:16" x14ac:dyDescent="0.25">
      <c r="A194"/>
      <c r="B194"/>
      <c r="C194"/>
      <c r="D194"/>
      <c r="E194"/>
      <c r="F194"/>
      <c r="G194"/>
      <c r="H194"/>
      <c r="I194"/>
      <c r="J194"/>
      <c r="K194"/>
      <c r="L194" s="48"/>
      <c r="M194"/>
      <c r="N194"/>
      <c r="O194"/>
      <c r="P194"/>
    </row>
    <row r="195" spans="1:16" x14ac:dyDescent="0.25">
      <c r="A195"/>
      <c r="B195"/>
      <c r="C195"/>
      <c r="D195"/>
      <c r="E195"/>
      <c r="F195"/>
      <c r="G195"/>
      <c r="H195"/>
      <c r="I195"/>
      <c r="J195"/>
      <c r="K195"/>
      <c r="L195" s="48"/>
      <c r="M195"/>
      <c r="N195"/>
      <c r="O195"/>
      <c r="P195"/>
    </row>
    <row r="196" spans="1:16" x14ac:dyDescent="0.25">
      <c r="A196"/>
      <c r="B196"/>
      <c r="C196"/>
      <c r="D196"/>
      <c r="E196"/>
      <c r="F196"/>
      <c r="G196"/>
      <c r="H196"/>
      <c r="I196"/>
      <c r="J196"/>
      <c r="K196"/>
      <c r="L196" s="48"/>
      <c r="M196"/>
      <c r="N196"/>
      <c r="O196"/>
      <c r="P196"/>
    </row>
    <row r="197" spans="1:16" x14ac:dyDescent="0.25">
      <c r="A197"/>
      <c r="B197"/>
      <c r="C197"/>
      <c r="D197"/>
      <c r="E197"/>
      <c r="F197"/>
      <c r="G197"/>
      <c r="H197"/>
      <c r="I197"/>
      <c r="J197"/>
      <c r="K197"/>
      <c r="L197" s="48"/>
      <c r="M197"/>
      <c r="N197"/>
      <c r="O197"/>
      <c r="P197"/>
    </row>
    <row r="198" spans="1:16" x14ac:dyDescent="0.25">
      <c r="A198"/>
      <c r="B198"/>
      <c r="C198"/>
      <c r="D198"/>
      <c r="E198"/>
      <c r="F198"/>
      <c r="G198"/>
      <c r="H198"/>
      <c r="I198"/>
      <c r="J198"/>
      <c r="K198"/>
      <c r="L198" s="48"/>
      <c r="M198"/>
      <c r="N198"/>
      <c r="O198"/>
      <c r="P198"/>
    </row>
    <row r="199" spans="1:16" x14ac:dyDescent="0.25">
      <c r="A199"/>
      <c r="B199"/>
      <c r="C199"/>
      <c r="D199"/>
      <c r="E199"/>
      <c r="F199"/>
      <c r="G199"/>
      <c r="H199"/>
      <c r="I199"/>
      <c r="J199"/>
      <c r="K199"/>
      <c r="L199" s="48"/>
      <c r="M199"/>
      <c r="N199"/>
      <c r="O199"/>
      <c r="P199"/>
    </row>
    <row r="200" spans="1:16" x14ac:dyDescent="0.25">
      <c r="A200"/>
      <c r="B200"/>
      <c r="C200"/>
      <c r="D200"/>
      <c r="E200"/>
      <c r="F200"/>
      <c r="G200"/>
      <c r="H200"/>
      <c r="I200"/>
      <c r="J200"/>
      <c r="K200"/>
      <c r="L200" s="48"/>
      <c r="M200"/>
      <c r="N200"/>
      <c r="O200"/>
      <c r="P200"/>
    </row>
    <row r="201" spans="1:16" x14ac:dyDescent="0.25">
      <c r="A201"/>
      <c r="B201"/>
      <c r="C201"/>
      <c r="D201"/>
      <c r="E201"/>
      <c r="F201"/>
      <c r="G201"/>
      <c r="H201"/>
      <c r="I201"/>
      <c r="J201"/>
      <c r="K201"/>
      <c r="L201" s="48"/>
      <c r="M201"/>
      <c r="N201"/>
      <c r="O201"/>
      <c r="P201"/>
    </row>
    <row r="202" spans="1:16" x14ac:dyDescent="0.25">
      <c r="A202"/>
      <c r="B202"/>
      <c r="C202"/>
      <c r="D202"/>
      <c r="E202"/>
      <c r="F202"/>
      <c r="G202"/>
      <c r="H202"/>
      <c r="I202"/>
      <c r="J202"/>
      <c r="K202"/>
      <c r="L202" s="14"/>
      <c r="M202"/>
      <c r="N202"/>
      <c r="O202"/>
      <c r="P202"/>
    </row>
    <row r="203" spans="1:16" x14ac:dyDescent="0.25">
      <c r="A203"/>
      <c r="B203"/>
      <c r="C203"/>
      <c r="D203"/>
      <c r="E203"/>
      <c r="F203"/>
      <c r="G203"/>
      <c r="H203"/>
      <c r="I203"/>
      <c r="J203"/>
      <c r="K203"/>
      <c r="L203" s="14"/>
      <c r="M203"/>
      <c r="N203"/>
      <c r="O203"/>
      <c r="P203"/>
    </row>
    <row r="204" spans="1:16" x14ac:dyDescent="0.25">
      <c r="A204"/>
      <c r="B204"/>
      <c r="C204"/>
      <c r="D204"/>
      <c r="E204"/>
      <c r="F204"/>
      <c r="G204"/>
      <c r="H204"/>
      <c r="I204"/>
      <c r="J204"/>
      <c r="K204"/>
      <c r="L204" s="14"/>
      <c r="M204"/>
      <c r="N204"/>
      <c r="O204"/>
      <c r="P204"/>
    </row>
    <row r="205" spans="1:16" x14ac:dyDescent="0.25">
      <c r="A205"/>
      <c r="B205"/>
      <c r="C205"/>
      <c r="D205"/>
      <c r="E205"/>
      <c r="F205"/>
      <c r="G205"/>
      <c r="H205"/>
      <c r="I205"/>
      <c r="J205"/>
      <c r="K205"/>
      <c r="L205" s="14"/>
      <c r="M205"/>
      <c r="N205"/>
      <c r="O205"/>
      <c r="P205"/>
    </row>
    <row r="206" spans="1:16" x14ac:dyDescent="0.25">
      <c r="A206"/>
      <c r="B206"/>
      <c r="C206"/>
      <c r="D206"/>
      <c r="E206"/>
      <c r="F206"/>
      <c r="G206"/>
      <c r="H206"/>
      <c r="I206"/>
      <c r="J206"/>
      <c r="K206"/>
      <c r="L206" s="14"/>
      <c r="M206"/>
      <c r="N206"/>
      <c r="O206"/>
      <c r="P206"/>
    </row>
    <row r="207" spans="1:16" x14ac:dyDescent="0.25">
      <c r="A207"/>
      <c r="B207"/>
      <c r="C207"/>
      <c r="D207"/>
      <c r="E207"/>
      <c r="F207"/>
      <c r="G207"/>
      <c r="H207"/>
      <c r="I207"/>
      <c r="J207"/>
      <c r="K207"/>
      <c r="L207" s="14"/>
      <c r="M207"/>
      <c r="N207"/>
      <c r="O207"/>
      <c r="P207"/>
    </row>
    <row r="208" spans="1:16" x14ac:dyDescent="0.25">
      <c r="A208"/>
      <c r="B208"/>
      <c r="C208"/>
      <c r="D208"/>
      <c r="E208"/>
      <c r="F208"/>
      <c r="G208"/>
      <c r="H208"/>
      <c r="I208"/>
      <c r="J208"/>
      <c r="K208"/>
      <c r="L208" s="14"/>
      <c r="M208"/>
      <c r="N208"/>
      <c r="O208"/>
      <c r="P208"/>
    </row>
    <row r="209" spans="1:16" x14ac:dyDescent="0.25">
      <c r="A209"/>
      <c r="B209"/>
      <c r="C209"/>
      <c r="D209"/>
      <c r="E209"/>
      <c r="F209"/>
      <c r="G209"/>
      <c r="H209"/>
      <c r="I209"/>
      <c r="J209"/>
      <c r="K209"/>
      <c r="L209" s="14"/>
      <c r="M209"/>
      <c r="N209"/>
      <c r="O209"/>
      <c r="P209"/>
    </row>
    <row r="210" spans="1:16" x14ac:dyDescent="0.25">
      <c r="A210"/>
      <c r="B210"/>
      <c r="C210"/>
      <c r="D210"/>
      <c r="E210"/>
      <c r="F210"/>
      <c r="G210"/>
      <c r="H210"/>
      <c r="I210"/>
      <c r="J210"/>
      <c r="K210"/>
      <c r="L210" s="14"/>
      <c r="M210"/>
      <c r="N210"/>
      <c r="O210"/>
      <c r="P210"/>
    </row>
    <row r="211" spans="1:16" x14ac:dyDescent="0.25">
      <c r="A211"/>
      <c r="B211"/>
      <c r="C211"/>
      <c r="D211"/>
      <c r="E211"/>
      <c r="F211"/>
      <c r="G211"/>
      <c r="H211"/>
      <c r="I211"/>
      <c r="J211"/>
      <c r="K211"/>
      <c r="L211" s="14"/>
      <c r="M211"/>
      <c r="N211"/>
      <c r="O211"/>
      <c r="P211"/>
    </row>
    <row r="212" spans="1:16" x14ac:dyDescent="0.25">
      <c r="A212"/>
      <c r="B212"/>
      <c r="C212"/>
      <c r="D212"/>
      <c r="E212"/>
      <c r="F212"/>
      <c r="G212"/>
      <c r="H212"/>
      <c r="I212"/>
      <c r="J212"/>
      <c r="K212"/>
      <c r="L212" s="14"/>
      <c r="M212"/>
      <c r="N212"/>
      <c r="O212"/>
      <c r="P212"/>
    </row>
    <row r="213" spans="1:16" x14ac:dyDescent="0.25">
      <c r="A213"/>
      <c r="B213"/>
      <c r="C213"/>
      <c r="D213"/>
      <c r="E213"/>
      <c r="F213"/>
      <c r="G213"/>
      <c r="H213"/>
      <c r="I213"/>
      <c r="J213"/>
      <c r="K213"/>
      <c r="L213" s="14"/>
      <c r="M213"/>
      <c r="N213"/>
      <c r="O213"/>
      <c r="P213"/>
    </row>
    <row r="214" spans="1:16" x14ac:dyDescent="0.25">
      <c r="A214"/>
      <c r="B214"/>
      <c r="C214"/>
      <c r="D214"/>
      <c r="E214"/>
      <c r="F214"/>
      <c r="G214"/>
      <c r="H214"/>
      <c r="I214"/>
      <c r="J214"/>
      <c r="K214"/>
      <c r="L214" s="14"/>
      <c r="M214"/>
      <c r="N214"/>
      <c r="O214"/>
      <c r="P214"/>
    </row>
    <row r="215" spans="1:16" x14ac:dyDescent="0.25">
      <c r="A215"/>
      <c r="B215"/>
      <c r="C215"/>
      <c r="D215"/>
      <c r="E215"/>
      <c r="F215"/>
      <c r="G215"/>
      <c r="H215"/>
      <c r="I215"/>
      <c r="J215"/>
      <c r="K215"/>
      <c r="L215" s="14"/>
      <c r="M215"/>
      <c r="N215"/>
      <c r="O215"/>
      <c r="P215"/>
    </row>
    <row r="216" spans="1:16" x14ac:dyDescent="0.25">
      <c r="A216"/>
      <c r="B216"/>
      <c r="C216"/>
      <c r="D216"/>
      <c r="E216"/>
      <c r="F216"/>
      <c r="G216"/>
      <c r="H216"/>
      <c r="I216"/>
      <c r="J216"/>
      <c r="K216"/>
      <c r="L216" s="14"/>
      <c r="M216"/>
      <c r="N216"/>
      <c r="O216"/>
      <c r="P216"/>
    </row>
    <row r="217" spans="1:16" x14ac:dyDescent="0.25">
      <c r="A217"/>
      <c r="B217"/>
      <c r="C217"/>
      <c r="D217"/>
      <c r="E217"/>
      <c r="F217"/>
      <c r="G217"/>
      <c r="H217"/>
      <c r="I217"/>
      <c r="J217"/>
      <c r="K217"/>
      <c r="L217" s="14"/>
      <c r="M217"/>
      <c r="N217"/>
      <c r="O217"/>
      <c r="P217"/>
    </row>
    <row r="218" spans="1:16" x14ac:dyDescent="0.25">
      <c r="A218"/>
      <c r="B218"/>
      <c r="C218"/>
      <c r="D218"/>
      <c r="E218"/>
      <c r="F218"/>
      <c r="G218"/>
      <c r="H218"/>
      <c r="I218"/>
      <c r="J218"/>
      <c r="K218"/>
      <c r="L218" s="14"/>
      <c r="M218"/>
      <c r="N218"/>
      <c r="O218"/>
      <c r="P218"/>
    </row>
    <row r="219" spans="1:16" x14ac:dyDescent="0.25">
      <c r="A219"/>
      <c r="B219"/>
      <c r="C219"/>
      <c r="D219"/>
      <c r="E219"/>
      <c r="F219"/>
      <c r="G219"/>
      <c r="H219"/>
      <c r="I219"/>
      <c r="J219"/>
      <c r="K219"/>
      <c r="L219" s="14"/>
      <c r="M219"/>
      <c r="N219"/>
      <c r="O219"/>
      <c r="P219"/>
    </row>
    <row r="220" spans="1:16" x14ac:dyDescent="0.25">
      <c r="A220"/>
      <c r="B220"/>
      <c r="C220"/>
      <c r="D220"/>
      <c r="E220"/>
      <c r="F220"/>
      <c r="G220"/>
      <c r="H220"/>
      <c r="I220"/>
      <c r="J220"/>
      <c r="K220"/>
      <c r="L220" s="14"/>
      <c r="M220"/>
      <c r="N220"/>
      <c r="O220"/>
      <c r="P220"/>
    </row>
    <row r="221" spans="1:16" x14ac:dyDescent="0.25">
      <c r="A221"/>
      <c r="B221"/>
      <c r="C221"/>
      <c r="D221"/>
      <c r="E221"/>
      <c r="F221"/>
      <c r="G221"/>
      <c r="H221"/>
      <c r="I221"/>
      <c r="J221"/>
      <c r="K221"/>
      <c r="L221" s="14"/>
      <c r="M221"/>
      <c r="N221"/>
      <c r="O221"/>
      <c r="P221"/>
    </row>
    <row r="222" spans="1:16" x14ac:dyDescent="0.25">
      <c r="A222"/>
      <c r="B222"/>
      <c r="C222"/>
      <c r="D222"/>
      <c r="E222"/>
      <c r="F222"/>
      <c r="G222"/>
      <c r="H222"/>
      <c r="I222"/>
      <c r="J222"/>
      <c r="K222"/>
      <c r="L222" s="14"/>
      <c r="M222"/>
      <c r="N222"/>
      <c r="O222"/>
      <c r="P222"/>
    </row>
    <row r="223" spans="1:16" x14ac:dyDescent="0.25">
      <c r="A223"/>
      <c r="B223"/>
      <c r="C223"/>
      <c r="D223"/>
      <c r="E223"/>
      <c r="F223"/>
      <c r="G223"/>
      <c r="H223"/>
      <c r="I223"/>
      <c r="J223"/>
      <c r="K223"/>
      <c r="L223" s="14"/>
      <c r="M223"/>
      <c r="N223"/>
      <c r="O223"/>
      <c r="P223"/>
    </row>
    <row r="224" spans="1:16" x14ac:dyDescent="0.25">
      <c r="A224"/>
      <c r="B224"/>
      <c r="C224"/>
      <c r="D224"/>
      <c r="E224"/>
      <c r="F224"/>
      <c r="G224"/>
      <c r="H224"/>
      <c r="I224"/>
      <c r="J224"/>
      <c r="K224"/>
      <c r="L224" s="14"/>
      <c r="M224"/>
      <c r="N224"/>
      <c r="O224"/>
      <c r="P224"/>
    </row>
    <row r="225" spans="1:16" x14ac:dyDescent="0.25">
      <c r="A225"/>
      <c r="B225"/>
      <c r="C225"/>
      <c r="D225"/>
      <c r="E225"/>
      <c r="F225"/>
      <c r="G225"/>
      <c r="H225"/>
      <c r="I225"/>
      <c r="J225"/>
      <c r="K225"/>
      <c r="L225" s="14"/>
      <c r="M225"/>
      <c r="N225"/>
      <c r="O225"/>
      <c r="P225"/>
    </row>
    <row r="226" spans="1:16" x14ac:dyDescent="0.25">
      <c r="A226"/>
      <c r="B226"/>
      <c r="C226"/>
      <c r="D226"/>
      <c r="E226"/>
      <c r="F226"/>
      <c r="G226"/>
      <c r="H226"/>
      <c r="I226"/>
      <c r="J226"/>
      <c r="K226"/>
      <c r="L226" s="14"/>
      <c r="M226"/>
      <c r="N226"/>
      <c r="O226"/>
      <c r="P226"/>
    </row>
    <row r="227" spans="1:16" x14ac:dyDescent="0.25">
      <c r="A227"/>
      <c r="B227"/>
      <c r="C227"/>
      <c r="D227"/>
      <c r="E227"/>
      <c r="F227"/>
      <c r="G227"/>
      <c r="H227"/>
      <c r="I227"/>
      <c r="J227"/>
      <c r="K227"/>
      <c r="L227" s="14"/>
      <c r="M227"/>
      <c r="N227"/>
      <c r="O227"/>
      <c r="P227"/>
    </row>
    <row r="228" spans="1:16" x14ac:dyDescent="0.25">
      <c r="A228"/>
      <c r="B228"/>
      <c r="C228"/>
      <c r="D228"/>
      <c r="E228"/>
      <c r="F228"/>
      <c r="G228"/>
      <c r="H228"/>
      <c r="I228"/>
      <c r="J228"/>
      <c r="K228"/>
      <c r="L228" s="14"/>
      <c r="M228"/>
      <c r="N228"/>
      <c r="O228"/>
      <c r="P228"/>
    </row>
    <row r="229" spans="1:16" x14ac:dyDescent="0.25">
      <c r="A229"/>
      <c r="B229"/>
      <c r="C229"/>
      <c r="D229"/>
      <c r="E229"/>
      <c r="F229"/>
      <c r="G229"/>
      <c r="H229"/>
      <c r="I229"/>
      <c r="J229"/>
      <c r="K229"/>
      <c r="L229" s="14"/>
      <c r="M229"/>
      <c r="N229"/>
      <c r="O229"/>
      <c r="P229"/>
    </row>
    <row r="230" spans="1:16" x14ac:dyDescent="0.25">
      <c r="A230"/>
      <c r="B230"/>
      <c r="C230"/>
      <c r="D230"/>
      <c r="E230"/>
      <c r="F230"/>
      <c r="G230"/>
      <c r="H230"/>
      <c r="I230"/>
      <c r="J230"/>
      <c r="K230"/>
      <c r="L230" s="14"/>
      <c r="M230"/>
      <c r="N230"/>
      <c r="O230"/>
      <c r="P230"/>
    </row>
    <row r="231" spans="1:16" x14ac:dyDescent="0.25">
      <c r="A231"/>
      <c r="B231"/>
      <c r="C231"/>
      <c r="D231"/>
      <c r="E231"/>
      <c r="F231"/>
      <c r="G231"/>
      <c r="H231"/>
      <c r="I231"/>
      <c r="J231"/>
      <c r="K231"/>
      <c r="L231" s="14"/>
      <c r="M231"/>
      <c r="N231"/>
      <c r="O231"/>
      <c r="P231"/>
    </row>
    <row r="232" spans="1:16" x14ac:dyDescent="0.25">
      <c r="A232"/>
      <c r="B232"/>
      <c r="C232"/>
      <c r="D232"/>
      <c r="E232"/>
      <c r="F232"/>
      <c r="G232"/>
      <c r="H232"/>
      <c r="I232"/>
      <c r="J232"/>
      <c r="K232"/>
      <c r="L232" s="14"/>
      <c r="M232"/>
      <c r="N232"/>
      <c r="O232"/>
      <c r="P232"/>
    </row>
    <row r="233" spans="1:16" x14ac:dyDescent="0.25">
      <c r="A233"/>
      <c r="B233"/>
      <c r="C233"/>
      <c r="D233"/>
      <c r="E233"/>
      <c r="F233"/>
      <c r="G233"/>
      <c r="H233"/>
      <c r="I233"/>
      <c r="J233"/>
      <c r="K233"/>
      <c r="L233" s="14"/>
      <c r="M233"/>
      <c r="N233"/>
      <c r="O233"/>
      <c r="P233"/>
    </row>
    <row r="234" spans="1:16" x14ac:dyDescent="0.25">
      <c r="A234"/>
      <c r="B234"/>
      <c r="C234"/>
      <c r="D234"/>
      <c r="E234"/>
      <c r="F234"/>
      <c r="G234"/>
      <c r="H234"/>
      <c r="I234"/>
      <c r="J234"/>
      <c r="K234"/>
      <c r="L234" s="14"/>
      <c r="M234"/>
      <c r="N234"/>
      <c r="O234"/>
      <c r="P234"/>
    </row>
    <row r="235" spans="1:16" x14ac:dyDescent="0.25">
      <c r="A235"/>
      <c r="B235"/>
      <c r="C235"/>
      <c r="D235"/>
      <c r="E235"/>
      <c r="F235"/>
      <c r="G235"/>
      <c r="H235"/>
      <c r="I235"/>
      <c r="J235"/>
      <c r="K235"/>
      <c r="L235" s="14"/>
      <c r="M235"/>
      <c r="N235"/>
      <c r="O235"/>
      <c r="P235"/>
    </row>
    <row r="236" spans="1:16" x14ac:dyDescent="0.25">
      <c r="A236"/>
      <c r="B236"/>
      <c r="C236"/>
      <c r="D236"/>
      <c r="E236"/>
      <c r="F236"/>
      <c r="G236"/>
      <c r="H236"/>
      <c r="I236"/>
      <c r="J236"/>
      <c r="K236"/>
      <c r="L236" s="14"/>
      <c r="M236"/>
      <c r="N236"/>
      <c r="O236"/>
      <c r="P236"/>
    </row>
    <row r="237" spans="1:16" x14ac:dyDescent="0.25">
      <c r="A237"/>
      <c r="B237"/>
      <c r="C237"/>
      <c r="D237"/>
      <c r="E237"/>
      <c r="F237"/>
      <c r="G237"/>
      <c r="H237"/>
      <c r="I237"/>
      <c r="J237"/>
      <c r="K237"/>
      <c r="L237" s="14"/>
      <c r="M237"/>
      <c r="N237"/>
      <c r="O237"/>
      <c r="P237"/>
    </row>
    <row r="238" spans="1:16" x14ac:dyDescent="0.25">
      <c r="A238"/>
      <c r="B238"/>
      <c r="C238"/>
      <c r="D238"/>
      <c r="E238"/>
      <c r="F238"/>
      <c r="G238"/>
      <c r="H238"/>
      <c r="I238"/>
      <c r="J238"/>
      <c r="K238"/>
      <c r="L238" s="14"/>
      <c r="M238"/>
      <c r="N238"/>
      <c r="O238"/>
      <c r="P238"/>
    </row>
    <row r="239" spans="1:16" x14ac:dyDescent="0.25">
      <c r="A239"/>
      <c r="B239"/>
      <c r="C239"/>
      <c r="D239"/>
      <c r="E239"/>
      <c r="F239"/>
      <c r="G239"/>
      <c r="H239"/>
      <c r="I239"/>
      <c r="J239"/>
      <c r="K239"/>
      <c r="L239" s="14"/>
      <c r="M239"/>
      <c r="N239"/>
      <c r="O239"/>
      <c r="P239"/>
    </row>
    <row r="240" spans="1:16" x14ac:dyDescent="0.25">
      <c r="A240"/>
      <c r="B240"/>
      <c r="C240"/>
      <c r="D240"/>
      <c r="E240"/>
      <c r="F240"/>
      <c r="G240"/>
      <c r="H240"/>
      <c r="I240"/>
      <c r="J240"/>
      <c r="K240"/>
      <c r="L240" s="14"/>
      <c r="M240"/>
      <c r="N240"/>
      <c r="O240"/>
      <c r="P240"/>
    </row>
    <row r="241" spans="1:16" x14ac:dyDescent="0.25">
      <c r="A241"/>
      <c r="B241"/>
      <c r="C241"/>
      <c r="D241"/>
      <c r="E241"/>
      <c r="F241"/>
      <c r="G241"/>
      <c r="H241"/>
      <c r="I241"/>
      <c r="J241"/>
      <c r="K241"/>
      <c r="L241" s="14"/>
      <c r="M241"/>
      <c r="N241"/>
      <c r="O241"/>
      <c r="P241"/>
    </row>
    <row r="242" spans="1:16" x14ac:dyDescent="0.25">
      <c r="A242"/>
      <c r="B242"/>
      <c r="C242"/>
      <c r="D242"/>
      <c r="E242"/>
      <c r="F242"/>
      <c r="G242"/>
      <c r="H242"/>
      <c r="I242"/>
      <c r="J242"/>
      <c r="K242"/>
      <c r="L242" s="14"/>
      <c r="M242"/>
      <c r="N242"/>
      <c r="O242"/>
      <c r="P242"/>
    </row>
    <row r="243" spans="1:16" x14ac:dyDescent="0.25">
      <c r="A243"/>
      <c r="B243"/>
      <c r="C243"/>
      <c r="D243"/>
      <c r="E243"/>
      <c r="F243"/>
      <c r="G243"/>
      <c r="H243"/>
      <c r="I243"/>
      <c r="J243"/>
      <c r="K243"/>
      <c r="L243" s="14"/>
      <c r="M243"/>
      <c r="N243"/>
      <c r="O243"/>
      <c r="P243"/>
    </row>
    <row r="244" spans="1:16" x14ac:dyDescent="0.25">
      <c r="A244"/>
      <c r="B244"/>
      <c r="C244"/>
      <c r="D244"/>
      <c r="E244"/>
      <c r="F244"/>
      <c r="G244"/>
      <c r="H244"/>
      <c r="I244"/>
      <c r="J244"/>
      <c r="K244"/>
      <c r="L244" s="14"/>
      <c r="M244"/>
      <c r="N244"/>
      <c r="O244"/>
      <c r="P244"/>
    </row>
    <row r="245" spans="1:16" x14ac:dyDescent="0.25">
      <c r="A245"/>
      <c r="B245"/>
      <c r="C245"/>
      <c r="D245"/>
      <c r="E245"/>
      <c r="F245"/>
      <c r="G245"/>
      <c r="H245"/>
      <c r="I245"/>
      <c r="J245"/>
      <c r="K245"/>
      <c r="L245" s="14"/>
      <c r="M245"/>
      <c r="N245"/>
      <c r="O245"/>
      <c r="P245"/>
    </row>
    <row r="246" spans="1:16" x14ac:dyDescent="0.25">
      <c r="A246"/>
      <c r="B246"/>
      <c r="C246"/>
      <c r="D246"/>
      <c r="E246"/>
      <c r="F246"/>
      <c r="G246"/>
      <c r="H246"/>
      <c r="I246"/>
      <c r="J246"/>
      <c r="K246"/>
      <c r="L246" s="14"/>
      <c r="M246"/>
      <c r="N246"/>
      <c r="O246"/>
      <c r="P246"/>
    </row>
    <row r="247" spans="1:16" x14ac:dyDescent="0.25">
      <c r="A247"/>
      <c r="B247"/>
      <c r="C247"/>
      <c r="D247"/>
      <c r="E247"/>
      <c r="F247"/>
      <c r="G247"/>
      <c r="H247"/>
      <c r="I247"/>
      <c r="J247"/>
      <c r="K247"/>
      <c r="L247" s="14"/>
      <c r="M247"/>
      <c r="N247"/>
      <c r="O247"/>
      <c r="P247"/>
    </row>
    <row r="248" spans="1:16" x14ac:dyDescent="0.25">
      <c r="A248"/>
      <c r="B248"/>
      <c r="C248"/>
      <c r="D248"/>
      <c r="E248"/>
      <c r="F248"/>
      <c r="G248"/>
      <c r="H248"/>
      <c r="I248"/>
      <c r="J248"/>
      <c r="K248"/>
      <c r="L248" s="14"/>
      <c r="M248"/>
      <c r="N248"/>
      <c r="O248"/>
      <c r="P248"/>
    </row>
    <row r="249" spans="1:16" x14ac:dyDescent="0.25">
      <c r="A249"/>
      <c r="B249"/>
      <c r="C249"/>
      <c r="D249"/>
      <c r="E249"/>
      <c r="F249"/>
      <c r="G249"/>
      <c r="H249"/>
      <c r="I249"/>
      <c r="J249"/>
      <c r="K249"/>
      <c r="L249" s="14"/>
      <c r="M249"/>
      <c r="N249"/>
      <c r="O249"/>
      <c r="P249"/>
    </row>
    <row r="250" spans="1:16" x14ac:dyDescent="0.25">
      <c r="A250"/>
      <c r="B250"/>
      <c r="C250"/>
      <c r="D250"/>
      <c r="E250"/>
      <c r="F250"/>
      <c r="G250"/>
      <c r="H250"/>
      <c r="I250"/>
      <c r="J250"/>
      <c r="K250"/>
      <c r="L250" s="14"/>
      <c r="M250"/>
      <c r="N250"/>
      <c r="O250"/>
      <c r="P250"/>
    </row>
    <row r="251" spans="1:16" x14ac:dyDescent="0.25">
      <c r="A251"/>
      <c r="B251"/>
      <c r="C251"/>
      <c r="D251"/>
      <c r="E251"/>
      <c r="F251"/>
      <c r="G251"/>
      <c r="H251"/>
      <c r="I251"/>
      <c r="J251"/>
      <c r="K251"/>
      <c r="L251" s="14"/>
      <c r="M251"/>
      <c r="N251"/>
      <c r="O251"/>
      <c r="P251"/>
    </row>
    <row r="252" spans="1:16" x14ac:dyDescent="0.25">
      <c r="A252"/>
      <c r="B252"/>
      <c r="C252"/>
      <c r="D252"/>
      <c r="E252"/>
      <c r="F252"/>
      <c r="G252"/>
      <c r="H252"/>
      <c r="I252"/>
      <c r="J252"/>
      <c r="K252"/>
      <c r="L252" s="14"/>
      <c r="M252"/>
      <c r="N252"/>
      <c r="O252"/>
      <c r="P252"/>
    </row>
    <row r="253" spans="1:16" x14ac:dyDescent="0.25">
      <c r="A253"/>
      <c r="B253"/>
      <c r="C253"/>
      <c r="D253"/>
      <c r="E253"/>
      <c r="F253"/>
      <c r="G253"/>
      <c r="H253"/>
      <c r="I253"/>
      <c r="J253"/>
      <c r="K253"/>
      <c r="L253" s="14"/>
      <c r="M253"/>
      <c r="N253"/>
      <c r="O253"/>
      <c r="P253"/>
    </row>
    <row r="254" spans="1:16" x14ac:dyDescent="0.25">
      <c r="A254"/>
      <c r="B254"/>
      <c r="C254"/>
      <c r="D254"/>
      <c r="E254"/>
      <c r="F254"/>
      <c r="G254"/>
      <c r="H254"/>
      <c r="I254"/>
      <c r="J254"/>
      <c r="K254"/>
      <c r="L254" s="14"/>
      <c r="M254"/>
      <c r="N254"/>
      <c r="O254"/>
      <c r="P254"/>
    </row>
    <row r="255" spans="1:16" x14ac:dyDescent="0.25">
      <c r="A255"/>
      <c r="B255"/>
      <c r="C255"/>
      <c r="D255"/>
      <c r="E255"/>
      <c r="F255"/>
      <c r="G255"/>
      <c r="H255"/>
      <c r="I255"/>
      <c r="J255"/>
      <c r="K255"/>
      <c r="L255" s="14"/>
      <c r="M255"/>
      <c r="N255"/>
      <c r="O255"/>
      <c r="P255"/>
    </row>
    <row r="256" spans="1:16" x14ac:dyDescent="0.25">
      <c r="A256"/>
      <c r="B256"/>
      <c r="C256"/>
      <c r="D256"/>
      <c r="E256"/>
      <c r="F256"/>
      <c r="G256"/>
      <c r="H256"/>
      <c r="I256"/>
      <c r="J256"/>
      <c r="K256"/>
      <c r="L256" s="14"/>
      <c r="M256"/>
      <c r="N256"/>
      <c r="O256"/>
      <c r="P256"/>
    </row>
    <row r="257" spans="1:16" x14ac:dyDescent="0.25">
      <c r="A257"/>
      <c r="B257"/>
      <c r="C257"/>
      <c r="D257"/>
      <c r="E257"/>
      <c r="F257"/>
      <c r="G257"/>
      <c r="H257"/>
      <c r="I257"/>
      <c r="J257"/>
      <c r="K257"/>
      <c r="L257" s="14"/>
      <c r="M257"/>
      <c r="N257"/>
      <c r="O257"/>
      <c r="P257"/>
    </row>
    <row r="258" spans="1:16" x14ac:dyDescent="0.25">
      <c r="A258"/>
      <c r="B258"/>
      <c r="C258"/>
      <c r="D258"/>
      <c r="E258"/>
      <c r="F258"/>
      <c r="G258"/>
      <c r="H258"/>
      <c r="I258"/>
      <c r="J258"/>
      <c r="K258"/>
      <c r="L258" s="14"/>
      <c r="M258"/>
      <c r="N258"/>
      <c r="O258"/>
      <c r="P258"/>
    </row>
    <row r="259" spans="1:16" x14ac:dyDescent="0.25">
      <c r="A259"/>
      <c r="B259"/>
      <c r="C259"/>
      <c r="D259"/>
      <c r="E259"/>
      <c r="F259"/>
      <c r="G259"/>
      <c r="H259"/>
      <c r="I259"/>
      <c r="J259"/>
      <c r="K259"/>
      <c r="L259" s="14"/>
      <c r="M259"/>
      <c r="N259"/>
      <c r="O259"/>
      <c r="P259"/>
    </row>
    <row r="260" spans="1:16" x14ac:dyDescent="0.25">
      <c r="A260"/>
      <c r="B260"/>
      <c r="C260"/>
      <c r="D260"/>
      <c r="E260"/>
      <c r="F260"/>
      <c r="G260"/>
      <c r="H260"/>
      <c r="I260"/>
      <c r="J260"/>
      <c r="K260"/>
      <c r="L260" s="14"/>
      <c r="M260"/>
      <c r="N260"/>
      <c r="O260"/>
      <c r="P260"/>
    </row>
    <row r="261" spans="1:16" x14ac:dyDescent="0.25">
      <c r="A261"/>
      <c r="B261"/>
      <c r="C261"/>
      <c r="D261"/>
      <c r="E261"/>
      <c r="F261"/>
      <c r="G261"/>
      <c r="H261"/>
      <c r="I261"/>
      <c r="J261"/>
      <c r="K261"/>
      <c r="L261" s="14"/>
      <c r="M261"/>
      <c r="N261"/>
      <c r="O261"/>
      <c r="P261"/>
    </row>
    <row r="262" spans="1:16" x14ac:dyDescent="0.25">
      <c r="A262"/>
      <c r="B262"/>
      <c r="C262"/>
      <c r="D262"/>
      <c r="E262"/>
      <c r="F262"/>
      <c r="G262"/>
      <c r="H262"/>
      <c r="I262"/>
      <c r="J262"/>
      <c r="K262"/>
      <c r="L262" s="14"/>
      <c r="M262"/>
      <c r="N262"/>
      <c r="O262"/>
      <c r="P262"/>
    </row>
    <row r="263" spans="1:16" x14ac:dyDescent="0.25">
      <c r="A263"/>
      <c r="B263"/>
      <c r="C263"/>
      <c r="D263"/>
      <c r="E263"/>
      <c r="F263"/>
      <c r="G263"/>
      <c r="H263"/>
      <c r="I263"/>
      <c r="J263"/>
      <c r="K263"/>
      <c r="L263" s="14"/>
      <c r="M263"/>
      <c r="N263"/>
      <c r="O263"/>
      <c r="P263"/>
    </row>
    <row r="264" spans="1:16" x14ac:dyDescent="0.25">
      <c r="A264"/>
      <c r="B264"/>
      <c r="C264"/>
      <c r="D264"/>
      <c r="E264"/>
      <c r="F264"/>
      <c r="G264"/>
      <c r="H264"/>
      <c r="I264"/>
      <c r="J264"/>
      <c r="K264"/>
      <c r="L264" s="14"/>
      <c r="M264"/>
      <c r="N264"/>
      <c r="O264"/>
      <c r="P264"/>
    </row>
    <row r="265" spans="1:16" x14ac:dyDescent="0.25">
      <c r="A265"/>
      <c r="B265"/>
      <c r="C265"/>
      <c r="D265"/>
      <c r="E265"/>
      <c r="F265"/>
      <c r="G265"/>
      <c r="H265"/>
      <c r="I265"/>
      <c r="J265"/>
      <c r="K265"/>
      <c r="L265" s="14"/>
      <c r="M265"/>
      <c r="N265"/>
      <c r="O265"/>
      <c r="P265"/>
    </row>
    <row r="266" spans="1:16" x14ac:dyDescent="0.25">
      <c r="A266"/>
      <c r="B266"/>
      <c r="C266"/>
      <c r="D266"/>
      <c r="E266"/>
      <c r="F266"/>
      <c r="G266"/>
      <c r="H266"/>
      <c r="I266"/>
      <c r="J266"/>
      <c r="K266"/>
      <c r="L266" s="14"/>
      <c r="M266"/>
      <c r="N266"/>
      <c r="O266"/>
      <c r="P266"/>
    </row>
    <row r="267" spans="1:16" x14ac:dyDescent="0.25">
      <c r="A267"/>
      <c r="B267"/>
      <c r="C267"/>
      <c r="D267"/>
      <c r="E267"/>
      <c r="F267"/>
      <c r="G267"/>
      <c r="H267"/>
      <c r="I267"/>
      <c r="J267"/>
      <c r="K267"/>
      <c r="L267" s="14"/>
      <c r="M267"/>
      <c r="N267"/>
      <c r="O267"/>
      <c r="P267"/>
    </row>
    <row r="268" spans="1:16" x14ac:dyDescent="0.25">
      <c r="A268"/>
      <c r="B268"/>
      <c r="C268"/>
      <c r="D268"/>
      <c r="E268"/>
      <c r="F268"/>
      <c r="G268"/>
      <c r="H268"/>
      <c r="I268"/>
      <c r="J268"/>
      <c r="K268"/>
      <c r="L268" s="14"/>
      <c r="M268"/>
      <c r="N268"/>
      <c r="O268"/>
      <c r="P268"/>
    </row>
    <row r="269" spans="1:16" x14ac:dyDescent="0.25">
      <c r="A269"/>
      <c r="B269"/>
      <c r="C269"/>
      <c r="D269"/>
      <c r="E269"/>
      <c r="F269"/>
      <c r="G269"/>
      <c r="H269"/>
      <c r="I269"/>
      <c r="J269"/>
      <c r="K269"/>
      <c r="L269" s="14"/>
      <c r="M269"/>
      <c r="N269"/>
      <c r="O269"/>
      <c r="P269"/>
    </row>
    <row r="270" spans="1:16" x14ac:dyDescent="0.25">
      <c r="A270"/>
      <c r="B270"/>
      <c r="C270"/>
      <c r="D270"/>
      <c r="E270"/>
      <c r="F270"/>
      <c r="G270"/>
      <c r="H270"/>
      <c r="I270"/>
      <c r="J270"/>
      <c r="K270"/>
      <c r="L270" s="14"/>
      <c r="M270"/>
      <c r="N270"/>
      <c r="O270"/>
      <c r="P270"/>
    </row>
    <row r="271" spans="1:16" x14ac:dyDescent="0.25">
      <c r="A271"/>
      <c r="B271"/>
      <c r="C271"/>
      <c r="D271"/>
      <c r="E271"/>
      <c r="F271"/>
      <c r="G271"/>
      <c r="H271"/>
      <c r="I271"/>
      <c r="J271"/>
      <c r="K271"/>
      <c r="L271" s="14"/>
      <c r="M271"/>
      <c r="N271"/>
      <c r="O271"/>
      <c r="P271"/>
    </row>
    <row r="272" spans="1:16" x14ac:dyDescent="0.25">
      <c r="A272"/>
      <c r="B272"/>
      <c r="C272"/>
      <c r="D272"/>
      <c r="E272"/>
      <c r="F272"/>
      <c r="G272"/>
      <c r="H272"/>
      <c r="I272"/>
      <c r="J272"/>
      <c r="K272"/>
      <c r="L272" s="14"/>
      <c r="M272"/>
      <c r="N272"/>
      <c r="O272"/>
      <c r="P272"/>
    </row>
    <row r="273" spans="1:16" x14ac:dyDescent="0.25">
      <c r="A273"/>
      <c r="B273"/>
      <c r="C273"/>
      <c r="D273"/>
      <c r="E273"/>
      <c r="F273"/>
      <c r="G273"/>
      <c r="H273"/>
      <c r="I273"/>
      <c r="J273"/>
      <c r="K273"/>
      <c r="L273" s="14"/>
      <c r="M273"/>
      <c r="N273"/>
      <c r="O273"/>
      <c r="P273"/>
    </row>
    <row r="274" spans="1:16" x14ac:dyDescent="0.25">
      <c r="A274"/>
      <c r="B274"/>
      <c r="C274"/>
      <c r="D274"/>
      <c r="E274"/>
      <c r="F274"/>
      <c r="G274"/>
      <c r="H274"/>
      <c r="I274"/>
      <c r="J274"/>
      <c r="K274"/>
      <c r="L274" s="14"/>
      <c r="M274"/>
      <c r="N274"/>
      <c r="O274"/>
      <c r="P274"/>
    </row>
    <row r="275" spans="1:16" x14ac:dyDescent="0.25">
      <c r="A275"/>
      <c r="B275"/>
      <c r="C275"/>
      <c r="D275"/>
      <c r="E275"/>
      <c r="F275"/>
      <c r="G275"/>
      <c r="H275"/>
      <c r="I275"/>
      <c r="J275"/>
      <c r="K275"/>
      <c r="L275" s="14"/>
      <c r="M275"/>
      <c r="N275"/>
      <c r="O275"/>
      <c r="P275"/>
    </row>
    <row r="276" spans="1:16" x14ac:dyDescent="0.25">
      <c r="A276"/>
      <c r="B276"/>
      <c r="C276"/>
      <c r="D276"/>
      <c r="E276"/>
      <c r="F276"/>
      <c r="G276"/>
      <c r="H276"/>
      <c r="I276"/>
      <c r="J276"/>
      <c r="K276"/>
      <c r="L276" s="14"/>
      <c r="M276"/>
      <c r="N276"/>
      <c r="O276"/>
      <c r="P276"/>
    </row>
    <row r="277" spans="1:16" x14ac:dyDescent="0.25">
      <c r="A277"/>
      <c r="B277"/>
      <c r="C277"/>
      <c r="D277"/>
      <c r="E277"/>
      <c r="F277"/>
      <c r="G277"/>
      <c r="H277"/>
      <c r="I277"/>
      <c r="J277"/>
      <c r="K277"/>
      <c r="L277" s="14"/>
      <c r="M277"/>
      <c r="N277"/>
      <c r="O277"/>
      <c r="P277"/>
    </row>
    <row r="278" spans="1:16" x14ac:dyDescent="0.25">
      <c r="A278"/>
      <c r="B278"/>
      <c r="C278"/>
      <c r="D278"/>
      <c r="E278"/>
      <c r="F278"/>
      <c r="G278"/>
      <c r="H278"/>
      <c r="I278"/>
      <c r="J278"/>
      <c r="K278"/>
      <c r="L278" s="14"/>
      <c r="M278"/>
      <c r="N278"/>
      <c r="O278"/>
      <c r="P278"/>
    </row>
    <row r="279" spans="1:16" x14ac:dyDescent="0.25">
      <c r="A279"/>
      <c r="B279"/>
      <c r="C279"/>
      <c r="D279"/>
      <c r="E279"/>
      <c r="F279"/>
      <c r="G279"/>
      <c r="H279"/>
      <c r="I279"/>
      <c r="J279"/>
      <c r="K279"/>
      <c r="L279" s="14"/>
      <c r="M279"/>
      <c r="N279"/>
      <c r="O279"/>
      <c r="P279"/>
    </row>
    <row r="280" spans="1:16" x14ac:dyDescent="0.25">
      <c r="A280"/>
      <c r="B280"/>
      <c r="C280"/>
      <c r="D280"/>
      <c r="E280"/>
      <c r="F280"/>
      <c r="G280"/>
      <c r="H280"/>
      <c r="I280"/>
      <c r="J280"/>
      <c r="K280"/>
      <c r="L280" s="14"/>
      <c r="M280"/>
      <c r="N280"/>
      <c r="O280"/>
      <c r="P280"/>
    </row>
    <row r="281" spans="1:16" x14ac:dyDescent="0.25">
      <c r="A281"/>
      <c r="B281"/>
      <c r="C281"/>
      <c r="D281"/>
      <c r="E281"/>
      <c r="F281"/>
      <c r="G281"/>
      <c r="H281"/>
      <c r="I281"/>
      <c r="J281"/>
      <c r="K281"/>
      <c r="L281" s="14"/>
      <c r="M281"/>
      <c r="N281"/>
      <c r="O281"/>
      <c r="P281"/>
    </row>
    <row r="282" spans="1:16" x14ac:dyDescent="0.25">
      <c r="A282"/>
      <c r="B282"/>
      <c r="C282"/>
      <c r="D282"/>
      <c r="E282"/>
      <c r="F282"/>
      <c r="G282"/>
      <c r="H282"/>
      <c r="I282"/>
      <c r="J282"/>
      <c r="K282"/>
      <c r="L282" s="14"/>
      <c r="M282"/>
      <c r="N282"/>
      <c r="O282"/>
      <c r="P282"/>
    </row>
    <row r="283" spans="1:16" x14ac:dyDescent="0.25">
      <c r="A283"/>
      <c r="B283"/>
      <c r="C283"/>
      <c r="D283"/>
      <c r="E283"/>
      <c r="F283"/>
      <c r="G283"/>
      <c r="H283"/>
      <c r="I283"/>
      <c r="J283"/>
      <c r="K283"/>
      <c r="L283" s="14"/>
      <c r="M283"/>
      <c r="N283"/>
      <c r="O283"/>
      <c r="P283"/>
    </row>
    <row r="284" spans="1:16" x14ac:dyDescent="0.25">
      <c r="A284"/>
      <c r="B284"/>
      <c r="C284"/>
      <c r="D284"/>
      <c r="E284"/>
      <c r="F284"/>
      <c r="G284"/>
      <c r="H284"/>
      <c r="I284"/>
      <c r="J284"/>
      <c r="K284"/>
      <c r="L284" s="14"/>
      <c r="M284"/>
      <c r="N284"/>
      <c r="O284"/>
      <c r="P284"/>
    </row>
    <row r="285" spans="1:16" x14ac:dyDescent="0.25">
      <c r="A285"/>
      <c r="B285"/>
      <c r="C285"/>
      <c r="D285"/>
      <c r="E285"/>
      <c r="F285"/>
      <c r="G285"/>
      <c r="H285"/>
      <c r="I285"/>
      <c r="J285"/>
      <c r="K285"/>
      <c r="L285" s="14"/>
      <c r="M285"/>
      <c r="N285"/>
      <c r="O285"/>
      <c r="P285"/>
    </row>
    <row r="286" spans="1:16" x14ac:dyDescent="0.25">
      <c r="A286"/>
      <c r="B286"/>
      <c r="C286"/>
      <c r="D286"/>
      <c r="E286"/>
      <c r="F286"/>
      <c r="G286"/>
      <c r="H286"/>
      <c r="I286"/>
      <c r="J286"/>
      <c r="K286"/>
      <c r="L286" s="14"/>
      <c r="M286"/>
      <c r="N286"/>
      <c r="O286"/>
      <c r="P286"/>
    </row>
    <row r="287" spans="1:16" x14ac:dyDescent="0.25">
      <c r="A287"/>
      <c r="B287"/>
      <c r="C287"/>
      <c r="D287"/>
      <c r="E287"/>
      <c r="F287"/>
      <c r="G287"/>
      <c r="H287"/>
      <c r="I287"/>
      <c r="J287"/>
      <c r="K287"/>
      <c r="L287" s="14"/>
      <c r="M287"/>
      <c r="N287"/>
      <c r="O287"/>
      <c r="P287"/>
    </row>
    <row r="288" spans="1:16" x14ac:dyDescent="0.25">
      <c r="A288"/>
      <c r="B288"/>
      <c r="C288"/>
      <c r="D288"/>
      <c r="E288"/>
      <c r="F288"/>
      <c r="G288"/>
      <c r="H288"/>
      <c r="I288"/>
      <c r="J288"/>
      <c r="K288"/>
      <c r="L288" s="14"/>
      <c r="M288"/>
      <c r="N288"/>
      <c r="O288"/>
      <c r="P288"/>
    </row>
    <row r="289" spans="1:16" x14ac:dyDescent="0.25">
      <c r="A289"/>
      <c r="B289"/>
      <c r="C289"/>
      <c r="D289"/>
      <c r="E289"/>
      <c r="F289"/>
      <c r="G289"/>
      <c r="H289"/>
      <c r="I289"/>
      <c r="J289"/>
      <c r="K289"/>
      <c r="L289" s="14"/>
      <c r="M289"/>
      <c r="N289"/>
      <c r="O289"/>
      <c r="P289"/>
    </row>
    <row r="290" spans="1:16" x14ac:dyDescent="0.25">
      <c r="A290"/>
      <c r="B290"/>
      <c r="C290"/>
      <c r="D290"/>
      <c r="E290"/>
      <c r="F290"/>
      <c r="G290"/>
      <c r="H290"/>
      <c r="I290"/>
      <c r="J290"/>
      <c r="K290"/>
      <c r="L290" s="14"/>
      <c r="M290"/>
      <c r="N290"/>
      <c r="O290"/>
      <c r="P290"/>
    </row>
    <row r="291" spans="1:16" x14ac:dyDescent="0.25">
      <c r="A291"/>
      <c r="B291"/>
      <c r="C291"/>
      <c r="D291"/>
      <c r="E291"/>
      <c r="F291"/>
      <c r="G291"/>
      <c r="H291"/>
      <c r="I291"/>
      <c r="J291"/>
      <c r="K291"/>
      <c r="L291" s="14"/>
      <c r="M291"/>
      <c r="N291"/>
      <c r="O291"/>
      <c r="P291"/>
    </row>
    <row r="292" spans="1:16" x14ac:dyDescent="0.25">
      <c r="A292"/>
      <c r="B292"/>
      <c r="C292"/>
      <c r="D292"/>
      <c r="E292"/>
      <c r="F292"/>
      <c r="G292"/>
      <c r="H292"/>
      <c r="I292"/>
      <c r="J292"/>
      <c r="K292"/>
      <c r="L292" s="14"/>
      <c r="M292"/>
      <c r="N292"/>
      <c r="O292"/>
      <c r="P292"/>
    </row>
    <row r="293" spans="1:16" x14ac:dyDescent="0.25">
      <c r="A293"/>
      <c r="B293"/>
      <c r="C293"/>
      <c r="D293"/>
      <c r="E293"/>
      <c r="F293"/>
      <c r="G293"/>
      <c r="H293"/>
      <c r="I293"/>
      <c r="J293"/>
      <c r="K293"/>
      <c r="L293" s="14"/>
      <c r="M293"/>
      <c r="N293"/>
      <c r="O293"/>
      <c r="P293"/>
    </row>
    <row r="294" spans="1:16" x14ac:dyDescent="0.25">
      <c r="A294"/>
      <c r="B294"/>
      <c r="C294"/>
      <c r="D294"/>
      <c r="E294"/>
      <c r="F294"/>
      <c r="G294"/>
      <c r="H294"/>
      <c r="I294"/>
      <c r="J294"/>
      <c r="K294"/>
      <c r="L294" s="14"/>
      <c r="M294"/>
      <c r="N294"/>
      <c r="O294"/>
      <c r="P294"/>
    </row>
    <row r="295" spans="1:16" x14ac:dyDescent="0.25">
      <c r="A295"/>
      <c r="B295"/>
      <c r="C295"/>
      <c r="D295"/>
      <c r="E295"/>
      <c r="F295"/>
      <c r="G295"/>
      <c r="H295"/>
      <c r="I295"/>
      <c r="J295"/>
      <c r="K295"/>
      <c r="L295" s="14"/>
      <c r="M295"/>
      <c r="N295"/>
      <c r="O295"/>
      <c r="P295"/>
    </row>
    <row r="296" spans="1:16" x14ac:dyDescent="0.25">
      <c r="A296"/>
      <c r="B296"/>
      <c r="C296"/>
      <c r="D296"/>
      <c r="E296"/>
      <c r="F296"/>
      <c r="G296"/>
      <c r="H296"/>
      <c r="I296"/>
      <c r="J296"/>
      <c r="K296"/>
      <c r="L296" s="14"/>
      <c r="M296"/>
      <c r="N296"/>
      <c r="O296"/>
      <c r="P296"/>
    </row>
    <row r="297" spans="1:16" x14ac:dyDescent="0.25">
      <c r="A297"/>
      <c r="B297"/>
      <c r="C297"/>
      <c r="D297"/>
      <c r="E297"/>
      <c r="F297"/>
      <c r="G297"/>
      <c r="H297"/>
      <c r="I297"/>
      <c r="J297"/>
      <c r="K297"/>
      <c r="L297" s="14"/>
      <c r="M297"/>
      <c r="N297"/>
      <c r="O297"/>
      <c r="P297"/>
    </row>
    <row r="298" spans="1:16" x14ac:dyDescent="0.25">
      <c r="A298"/>
      <c r="B298"/>
      <c r="C298"/>
      <c r="D298"/>
      <c r="E298"/>
      <c r="F298"/>
      <c r="G298"/>
      <c r="H298"/>
      <c r="I298"/>
      <c r="J298"/>
      <c r="K298"/>
      <c r="L298" s="14"/>
      <c r="M298"/>
      <c r="N298"/>
      <c r="O298"/>
      <c r="P298"/>
    </row>
    <row r="299" spans="1:16" x14ac:dyDescent="0.25">
      <c r="A299"/>
      <c r="B299"/>
      <c r="C299"/>
      <c r="D299"/>
      <c r="E299"/>
      <c r="F299"/>
      <c r="G299"/>
      <c r="H299"/>
      <c r="I299"/>
      <c r="J299"/>
      <c r="K299"/>
      <c r="L299" s="14"/>
      <c r="M299"/>
      <c r="N299"/>
      <c r="O299"/>
      <c r="P299"/>
    </row>
    <row r="300" spans="1:16" x14ac:dyDescent="0.25">
      <c r="A300"/>
      <c r="B300"/>
      <c r="C300"/>
      <c r="D300"/>
      <c r="E300"/>
      <c r="F300"/>
      <c r="G300"/>
      <c r="H300"/>
      <c r="I300"/>
      <c r="J300"/>
      <c r="K300"/>
      <c r="L300" s="14"/>
      <c r="M300"/>
      <c r="N300"/>
      <c r="O300"/>
      <c r="P300"/>
    </row>
    <row r="301" spans="1:16" x14ac:dyDescent="0.25">
      <c r="A301"/>
      <c r="B301"/>
      <c r="C301"/>
      <c r="D301"/>
      <c r="E301"/>
      <c r="F301"/>
      <c r="G301"/>
      <c r="H301"/>
      <c r="I301"/>
      <c r="J301"/>
      <c r="K301"/>
      <c r="L301" s="14"/>
      <c r="M301"/>
      <c r="N301"/>
      <c r="O301"/>
      <c r="P301"/>
    </row>
    <row r="302" spans="1:16" x14ac:dyDescent="0.25">
      <c r="A302"/>
      <c r="B302"/>
      <c r="C302"/>
      <c r="D302"/>
      <c r="E302"/>
      <c r="F302"/>
      <c r="G302"/>
      <c r="H302"/>
      <c r="I302"/>
      <c r="J302"/>
      <c r="K302"/>
      <c r="L302" s="14"/>
      <c r="M302"/>
      <c r="N302"/>
      <c r="O302"/>
      <c r="P302"/>
    </row>
    <row r="303" spans="1:16" x14ac:dyDescent="0.25">
      <c r="A303"/>
      <c r="B303"/>
      <c r="C303"/>
      <c r="D303"/>
      <c r="E303"/>
      <c r="F303"/>
      <c r="G303"/>
      <c r="H303"/>
      <c r="I303"/>
      <c r="J303"/>
      <c r="K303"/>
      <c r="L303" s="14"/>
      <c r="M303"/>
      <c r="N303"/>
      <c r="O303"/>
      <c r="P303"/>
    </row>
    <row r="304" spans="1:16" x14ac:dyDescent="0.25">
      <c r="A304"/>
      <c r="B304"/>
      <c r="C304"/>
      <c r="D304"/>
      <c r="E304"/>
      <c r="F304"/>
      <c r="G304"/>
      <c r="H304"/>
      <c r="I304"/>
      <c r="J304"/>
      <c r="K304"/>
      <c r="L304" s="14"/>
      <c r="M304"/>
      <c r="N304"/>
      <c r="O304"/>
      <c r="P304"/>
    </row>
    <row r="305" spans="1:16" x14ac:dyDescent="0.25">
      <c r="A305"/>
      <c r="B305"/>
      <c r="C305"/>
      <c r="D305"/>
      <c r="E305"/>
      <c r="F305"/>
      <c r="G305"/>
      <c r="H305"/>
      <c r="I305"/>
      <c r="J305"/>
      <c r="K305"/>
      <c r="L305" s="14"/>
      <c r="M305"/>
      <c r="N305"/>
      <c r="O305"/>
      <c r="P305"/>
    </row>
    <row r="306" spans="1:16" x14ac:dyDescent="0.25">
      <c r="A306"/>
      <c r="B306"/>
      <c r="C306"/>
      <c r="D306"/>
      <c r="E306"/>
      <c r="F306"/>
      <c r="G306"/>
      <c r="H306"/>
      <c r="I306"/>
      <c r="J306"/>
      <c r="K306"/>
      <c r="L306" s="14"/>
      <c r="M306"/>
      <c r="N306"/>
      <c r="O306"/>
      <c r="P306"/>
    </row>
    <row r="307" spans="1:16" x14ac:dyDescent="0.25">
      <c r="A307"/>
      <c r="B307"/>
      <c r="C307"/>
      <c r="D307"/>
      <c r="E307"/>
      <c r="F307"/>
      <c r="G307"/>
      <c r="H307"/>
      <c r="I307"/>
      <c r="J307"/>
      <c r="K307"/>
      <c r="L307" s="14"/>
      <c r="M307"/>
      <c r="N307"/>
      <c r="O307"/>
      <c r="P307"/>
    </row>
    <row r="308" spans="1:16" x14ac:dyDescent="0.25">
      <c r="A308"/>
      <c r="B308"/>
      <c r="C308"/>
      <c r="D308"/>
      <c r="E308"/>
      <c r="F308"/>
      <c r="G308"/>
      <c r="H308"/>
      <c r="I308"/>
      <c r="J308"/>
      <c r="K308"/>
      <c r="L308" s="14"/>
      <c r="M308"/>
      <c r="N308"/>
      <c r="O308"/>
      <c r="P308"/>
    </row>
    <row r="309" spans="1:16" x14ac:dyDescent="0.25">
      <c r="A309"/>
      <c r="B309"/>
      <c r="C309"/>
      <c r="D309"/>
      <c r="E309"/>
      <c r="F309"/>
      <c r="G309"/>
      <c r="H309"/>
      <c r="I309"/>
      <c r="J309"/>
      <c r="K309"/>
      <c r="L309" s="14"/>
      <c r="M309"/>
      <c r="N309"/>
      <c r="O309"/>
      <c r="P309"/>
    </row>
    <row r="310" spans="1:16" x14ac:dyDescent="0.25">
      <c r="A310"/>
      <c r="B310"/>
      <c r="C310"/>
      <c r="D310"/>
      <c r="E310"/>
      <c r="F310"/>
      <c r="G310"/>
      <c r="H310"/>
      <c r="I310"/>
      <c r="J310"/>
      <c r="K310"/>
      <c r="L310" s="14"/>
      <c r="M310"/>
      <c r="N310"/>
      <c r="O310"/>
      <c r="P310"/>
    </row>
    <row r="311" spans="1:16" x14ac:dyDescent="0.25">
      <c r="A311"/>
      <c r="B311"/>
      <c r="C311"/>
      <c r="D311"/>
      <c r="E311"/>
      <c r="F311"/>
      <c r="G311"/>
      <c r="H311"/>
      <c r="I311"/>
      <c r="J311"/>
      <c r="K311"/>
      <c r="L311" s="14"/>
      <c r="M311"/>
      <c r="N311"/>
      <c r="O311"/>
      <c r="P311"/>
    </row>
    <row r="312" spans="1:16" x14ac:dyDescent="0.25">
      <c r="A312"/>
      <c r="B312"/>
      <c r="C312"/>
      <c r="D312"/>
      <c r="E312"/>
      <c r="F312"/>
      <c r="G312"/>
      <c r="H312"/>
      <c r="I312"/>
      <c r="J312"/>
      <c r="K312"/>
      <c r="L312" s="14"/>
      <c r="M312"/>
      <c r="N312"/>
      <c r="O312"/>
      <c r="P312"/>
    </row>
    <row r="313" spans="1:16" x14ac:dyDescent="0.25">
      <c r="A313"/>
      <c r="B313"/>
      <c r="C313"/>
      <c r="D313"/>
      <c r="E313"/>
      <c r="F313"/>
      <c r="G313"/>
      <c r="H313"/>
      <c r="I313"/>
      <c r="J313"/>
      <c r="K313"/>
      <c r="L313" s="14"/>
      <c r="M313"/>
      <c r="N313"/>
      <c r="O313"/>
      <c r="P313"/>
    </row>
    <row r="314" spans="1:16" x14ac:dyDescent="0.25">
      <c r="A314"/>
      <c r="B314"/>
      <c r="C314"/>
      <c r="D314"/>
      <c r="E314"/>
      <c r="F314"/>
      <c r="G314"/>
      <c r="H314"/>
      <c r="I314"/>
      <c r="J314"/>
      <c r="K314"/>
      <c r="L314" s="14"/>
      <c r="M314"/>
      <c r="N314"/>
      <c r="O314"/>
      <c r="P314"/>
    </row>
    <row r="315" spans="1:16" x14ac:dyDescent="0.25">
      <c r="A315"/>
      <c r="B315"/>
      <c r="C315"/>
      <c r="D315"/>
      <c r="E315"/>
      <c r="F315"/>
      <c r="G315"/>
      <c r="H315"/>
      <c r="I315"/>
      <c r="J315"/>
      <c r="K315"/>
      <c r="L315" s="14"/>
      <c r="M315"/>
      <c r="N315"/>
      <c r="O315"/>
      <c r="P315"/>
    </row>
    <row r="316" spans="1:16" x14ac:dyDescent="0.25">
      <c r="A316"/>
      <c r="B316"/>
      <c r="C316"/>
      <c r="D316"/>
      <c r="E316"/>
      <c r="F316"/>
      <c r="G316"/>
      <c r="H316"/>
      <c r="I316"/>
      <c r="J316"/>
      <c r="K316"/>
      <c r="L316" s="14"/>
      <c r="M316"/>
      <c r="N316"/>
      <c r="O316"/>
      <c r="P316"/>
    </row>
    <row r="317" spans="1:16" x14ac:dyDescent="0.25">
      <c r="A317"/>
      <c r="B317"/>
      <c r="C317"/>
      <c r="D317"/>
      <c r="E317"/>
      <c r="F317"/>
      <c r="G317"/>
      <c r="H317"/>
      <c r="I317"/>
      <c r="J317"/>
      <c r="K317"/>
      <c r="L317" s="14"/>
      <c r="M317"/>
      <c r="N317"/>
      <c r="O317"/>
      <c r="P317"/>
    </row>
    <row r="318" spans="1:16" x14ac:dyDescent="0.25">
      <c r="A318"/>
      <c r="B318"/>
      <c r="C318"/>
      <c r="D318"/>
      <c r="E318"/>
      <c r="F318"/>
      <c r="G318"/>
      <c r="H318"/>
      <c r="I318"/>
      <c r="J318"/>
      <c r="K318"/>
      <c r="L318" s="14"/>
      <c r="M318"/>
      <c r="N318"/>
      <c r="O318"/>
      <c r="P318"/>
    </row>
    <row r="319" spans="1:16" x14ac:dyDescent="0.25">
      <c r="A319"/>
      <c r="B319"/>
      <c r="C319"/>
      <c r="D319"/>
      <c r="E319"/>
      <c r="F319"/>
      <c r="G319"/>
      <c r="H319"/>
      <c r="I319"/>
      <c r="J319"/>
      <c r="K319"/>
      <c r="L319" s="14"/>
      <c r="M319"/>
      <c r="N319"/>
      <c r="O319"/>
      <c r="P319"/>
    </row>
    <row r="320" spans="1:16" x14ac:dyDescent="0.25">
      <c r="A320"/>
      <c r="B320"/>
      <c r="C320"/>
      <c r="D320"/>
      <c r="E320"/>
      <c r="F320"/>
      <c r="G320"/>
      <c r="H320"/>
      <c r="I320"/>
      <c r="J320"/>
      <c r="K320"/>
      <c r="L320" s="14"/>
      <c r="M320"/>
      <c r="N320"/>
      <c r="O320"/>
      <c r="P320"/>
    </row>
    <row r="321" spans="1:16" x14ac:dyDescent="0.25">
      <c r="A321"/>
      <c r="B321"/>
      <c r="C321"/>
      <c r="D321"/>
      <c r="E321"/>
      <c r="F321"/>
      <c r="G321"/>
      <c r="H321"/>
      <c r="I321"/>
      <c r="J321"/>
      <c r="K321"/>
      <c r="L321" s="14"/>
      <c r="M321"/>
      <c r="N321"/>
      <c r="O321"/>
      <c r="P321"/>
    </row>
    <row r="322" spans="1:16" x14ac:dyDescent="0.25">
      <c r="A322"/>
      <c r="B322"/>
      <c r="C322"/>
      <c r="D322"/>
      <c r="E322"/>
      <c r="F322"/>
      <c r="G322"/>
      <c r="H322"/>
      <c r="I322"/>
      <c r="J322"/>
      <c r="K322"/>
      <c r="L322" s="14"/>
      <c r="M322"/>
      <c r="N322"/>
      <c r="O322"/>
      <c r="P322"/>
    </row>
    <row r="323" spans="1:16" x14ac:dyDescent="0.25">
      <c r="A323"/>
      <c r="B323"/>
      <c r="C323"/>
      <c r="D323"/>
      <c r="E323"/>
      <c r="F323"/>
      <c r="G323"/>
      <c r="H323"/>
      <c r="I323"/>
      <c r="J323"/>
      <c r="K323"/>
      <c r="L323" s="14"/>
      <c r="M323"/>
      <c r="N323"/>
      <c r="O323"/>
      <c r="P323"/>
    </row>
    <row r="324" spans="1:16" x14ac:dyDescent="0.25">
      <c r="A324"/>
      <c r="B324"/>
      <c r="C324"/>
      <c r="D324"/>
      <c r="E324"/>
      <c r="F324"/>
      <c r="G324"/>
      <c r="H324"/>
      <c r="I324"/>
      <c r="J324"/>
      <c r="K324"/>
      <c r="L324" s="14"/>
      <c r="M324"/>
      <c r="N324"/>
      <c r="O324"/>
      <c r="P324"/>
    </row>
    <row r="325" spans="1:16" x14ac:dyDescent="0.25">
      <c r="A325"/>
      <c r="B325"/>
      <c r="C325"/>
      <c r="D325"/>
      <c r="E325"/>
      <c r="F325"/>
      <c r="G325"/>
      <c r="H325"/>
      <c r="I325"/>
      <c r="J325"/>
      <c r="K325"/>
      <c r="L325" s="14"/>
      <c r="M325"/>
      <c r="N325"/>
      <c r="O325"/>
      <c r="P325"/>
    </row>
    <row r="326" spans="1:16" x14ac:dyDescent="0.25">
      <c r="A326"/>
      <c r="B326"/>
      <c r="C326"/>
      <c r="D326"/>
      <c r="E326"/>
      <c r="F326"/>
      <c r="G326"/>
      <c r="H326"/>
      <c r="I326"/>
      <c r="J326"/>
      <c r="K326"/>
      <c r="L326" s="14"/>
      <c r="M326"/>
      <c r="N326"/>
      <c r="O326"/>
      <c r="P326"/>
    </row>
    <row r="327" spans="1:16" x14ac:dyDescent="0.25">
      <c r="A327"/>
      <c r="B327"/>
      <c r="C327"/>
      <c r="D327"/>
      <c r="E327"/>
      <c r="F327"/>
      <c r="G327"/>
      <c r="H327"/>
      <c r="I327"/>
      <c r="J327"/>
      <c r="K327"/>
      <c r="L327" s="14"/>
      <c r="M327"/>
      <c r="N327"/>
      <c r="O327"/>
      <c r="P327"/>
    </row>
    <row r="328" spans="1:16" x14ac:dyDescent="0.25">
      <c r="A328"/>
      <c r="B328"/>
      <c r="C328"/>
      <c r="D328"/>
      <c r="E328"/>
      <c r="F328"/>
      <c r="G328"/>
      <c r="H328"/>
      <c r="I328"/>
      <c r="J328"/>
      <c r="K328"/>
      <c r="L328" s="14"/>
      <c r="M328"/>
      <c r="N328"/>
      <c r="O328"/>
      <c r="P328"/>
    </row>
    <row r="329" spans="1:16" x14ac:dyDescent="0.25">
      <c r="A329"/>
      <c r="B329"/>
      <c r="C329"/>
      <c r="D329"/>
      <c r="E329"/>
      <c r="F329"/>
      <c r="G329"/>
      <c r="H329"/>
      <c r="I329"/>
      <c r="J329"/>
      <c r="K329"/>
      <c r="L329" s="14"/>
      <c r="M329"/>
      <c r="N329"/>
      <c r="O329"/>
      <c r="P329"/>
    </row>
    <row r="330" spans="1:16" x14ac:dyDescent="0.25">
      <c r="A330"/>
      <c r="B330"/>
      <c r="C330"/>
      <c r="D330"/>
      <c r="E330"/>
      <c r="F330"/>
      <c r="G330"/>
      <c r="H330"/>
      <c r="I330"/>
      <c r="J330"/>
      <c r="K330"/>
      <c r="L330" s="14"/>
      <c r="M330"/>
      <c r="N330"/>
      <c r="O330"/>
      <c r="P330"/>
    </row>
    <row r="331" spans="1:16" x14ac:dyDescent="0.25">
      <c r="A331"/>
      <c r="B331"/>
      <c r="C331"/>
      <c r="D331"/>
      <c r="E331"/>
      <c r="F331"/>
      <c r="G331"/>
      <c r="H331"/>
      <c r="I331"/>
      <c r="J331"/>
      <c r="K331"/>
      <c r="L331" s="14"/>
      <c r="M331"/>
      <c r="N331"/>
      <c r="O331"/>
      <c r="P331"/>
    </row>
    <row r="332" spans="1:16" x14ac:dyDescent="0.25">
      <c r="A332"/>
      <c r="B332"/>
      <c r="C332"/>
      <c r="D332"/>
      <c r="E332"/>
      <c r="F332"/>
      <c r="G332"/>
      <c r="H332"/>
      <c r="I332"/>
      <c r="J332"/>
      <c r="K332"/>
      <c r="L332" s="14"/>
      <c r="M332"/>
      <c r="N332"/>
      <c r="O332"/>
      <c r="P332"/>
    </row>
    <row r="333" spans="1:16" x14ac:dyDescent="0.25">
      <c r="A333"/>
      <c r="B333"/>
      <c r="C333"/>
      <c r="D333"/>
      <c r="E333"/>
      <c r="F333"/>
      <c r="G333"/>
      <c r="H333"/>
      <c r="I333"/>
      <c r="J333"/>
      <c r="K333"/>
      <c r="L333" s="14"/>
      <c r="M333"/>
      <c r="N333"/>
      <c r="O333"/>
      <c r="P333"/>
    </row>
    <row r="334" spans="1:16" x14ac:dyDescent="0.25">
      <c r="A334"/>
      <c r="B334"/>
      <c r="C334"/>
      <c r="D334"/>
      <c r="E334"/>
      <c r="F334"/>
      <c r="G334"/>
      <c r="H334"/>
      <c r="I334"/>
      <c r="J334"/>
      <c r="K334"/>
      <c r="L334" s="14"/>
      <c r="M334"/>
      <c r="N334"/>
      <c r="O334"/>
      <c r="P334"/>
    </row>
    <row r="335" spans="1:16" x14ac:dyDescent="0.25">
      <c r="A335"/>
      <c r="B335"/>
      <c r="C335"/>
      <c r="D335"/>
      <c r="E335"/>
      <c r="F335"/>
      <c r="G335"/>
      <c r="H335"/>
      <c r="I335"/>
      <c r="J335"/>
      <c r="K335"/>
      <c r="L335" s="14"/>
      <c r="M335"/>
      <c r="N335"/>
      <c r="O335"/>
      <c r="P335"/>
    </row>
    <row r="336" spans="1:16" x14ac:dyDescent="0.25">
      <c r="A336"/>
      <c r="B336"/>
      <c r="C336"/>
      <c r="D336"/>
      <c r="E336"/>
      <c r="F336"/>
      <c r="G336"/>
      <c r="H336"/>
      <c r="I336"/>
      <c r="J336"/>
      <c r="K336"/>
      <c r="L336" s="14"/>
      <c r="M336"/>
      <c r="N336"/>
      <c r="O336"/>
      <c r="P336"/>
    </row>
    <row r="337" spans="1:16" x14ac:dyDescent="0.25">
      <c r="A337"/>
      <c r="B337"/>
      <c r="C337"/>
      <c r="D337"/>
      <c r="E337"/>
      <c r="F337"/>
      <c r="G337"/>
      <c r="H337"/>
      <c r="I337"/>
      <c r="J337"/>
      <c r="K337"/>
      <c r="L337" s="14"/>
      <c r="M337"/>
      <c r="N337"/>
      <c r="O337"/>
      <c r="P337"/>
    </row>
    <row r="338" spans="1:16" x14ac:dyDescent="0.25">
      <c r="A338"/>
      <c r="B338"/>
      <c r="C338"/>
      <c r="D338"/>
      <c r="E338"/>
      <c r="F338"/>
      <c r="G338"/>
      <c r="H338"/>
      <c r="I338"/>
      <c r="J338"/>
      <c r="K338"/>
      <c r="L338" s="14"/>
      <c r="M338"/>
      <c r="N338"/>
      <c r="O338"/>
      <c r="P338"/>
    </row>
    <row r="339" spans="1:16" x14ac:dyDescent="0.25">
      <c r="A339"/>
      <c r="B339"/>
      <c r="C339"/>
      <c r="D339"/>
      <c r="E339"/>
      <c r="F339"/>
      <c r="G339"/>
      <c r="H339"/>
      <c r="I339"/>
      <c r="J339"/>
      <c r="K339"/>
      <c r="L339" s="14"/>
      <c r="M339"/>
      <c r="N339"/>
      <c r="O339"/>
      <c r="P339"/>
    </row>
    <row r="340" spans="1:16" x14ac:dyDescent="0.25">
      <c r="A340"/>
      <c r="B340"/>
      <c r="C340"/>
      <c r="D340"/>
      <c r="E340"/>
      <c r="F340"/>
      <c r="G340"/>
      <c r="H340"/>
      <c r="I340"/>
      <c r="J340"/>
      <c r="K340"/>
      <c r="L340" s="14"/>
      <c r="M340"/>
      <c r="N340"/>
      <c r="O340"/>
      <c r="P340"/>
    </row>
    <row r="341" spans="1:16" x14ac:dyDescent="0.25">
      <c r="A341"/>
      <c r="B341"/>
      <c r="C341"/>
      <c r="D341"/>
      <c r="E341"/>
      <c r="F341"/>
      <c r="G341"/>
      <c r="H341"/>
      <c r="I341"/>
      <c r="J341"/>
      <c r="K341"/>
      <c r="L341" s="14"/>
      <c r="M341"/>
      <c r="N341"/>
      <c r="O341"/>
      <c r="P341"/>
    </row>
    <row r="342" spans="1:16" x14ac:dyDescent="0.25">
      <c r="A342"/>
      <c r="B342"/>
      <c r="C342"/>
      <c r="D342"/>
      <c r="E342"/>
      <c r="F342"/>
      <c r="G342"/>
      <c r="H342"/>
      <c r="I342"/>
      <c r="J342"/>
      <c r="K342"/>
      <c r="L342" s="14"/>
      <c r="M342"/>
      <c r="N342"/>
      <c r="O342"/>
      <c r="P342"/>
    </row>
    <row r="343" spans="1:16" x14ac:dyDescent="0.25">
      <c r="A343"/>
      <c r="B343"/>
      <c r="C343"/>
      <c r="D343"/>
      <c r="E343"/>
      <c r="F343"/>
      <c r="G343"/>
      <c r="H343"/>
      <c r="I343"/>
      <c r="J343"/>
      <c r="K343"/>
      <c r="L343" s="14"/>
      <c r="M343"/>
      <c r="N343"/>
      <c r="O343"/>
      <c r="P343"/>
    </row>
    <row r="344" spans="1:16" x14ac:dyDescent="0.25">
      <c r="A344"/>
      <c r="B344"/>
      <c r="C344"/>
      <c r="D344"/>
      <c r="E344"/>
      <c r="F344"/>
      <c r="G344"/>
      <c r="H344"/>
      <c r="I344"/>
      <c r="J344"/>
      <c r="K344"/>
      <c r="L344" s="14"/>
      <c r="M344"/>
      <c r="N344"/>
      <c r="O344"/>
      <c r="P344"/>
    </row>
    <row r="345" spans="1:16" x14ac:dyDescent="0.25">
      <c r="A345"/>
      <c r="B345"/>
      <c r="C345"/>
      <c r="D345"/>
      <c r="E345"/>
      <c r="F345"/>
      <c r="G345"/>
      <c r="H345"/>
      <c r="I345"/>
      <c r="J345"/>
      <c r="K345"/>
      <c r="L345" s="14"/>
      <c r="M345"/>
      <c r="N345"/>
      <c r="O345"/>
      <c r="P345"/>
    </row>
    <row r="346" spans="1:16" x14ac:dyDescent="0.25">
      <c r="A346"/>
      <c r="B346"/>
      <c r="C346"/>
      <c r="D346"/>
      <c r="E346"/>
      <c r="F346"/>
      <c r="G346"/>
      <c r="H346"/>
      <c r="I346"/>
      <c r="J346"/>
      <c r="K346"/>
      <c r="L346" s="14"/>
      <c r="M346"/>
      <c r="N346"/>
      <c r="O346"/>
      <c r="P346"/>
    </row>
    <row r="347" spans="1:16" x14ac:dyDescent="0.25">
      <c r="A347"/>
      <c r="B347"/>
      <c r="C347"/>
      <c r="D347"/>
      <c r="E347"/>
      <c r="F347"/>
      <c r="G347"/>
      <c r="H347"/>
      <c r="I347"/>
      <c r="J347"/>
      <c r="K347"/>
      <c r="L347" s="14"/>
      <c r="M347"/>
      <c r="N347"/>
      <c r="O347"/>
      <c r="P347"/>
    </row>
    <row r="348" spans="1:16" x14ac:dyDescent="0.25">
      <c r="A348"/>
      <c r="B348"/>
      <c r="C348"/>
      <c r="D348"/>
      <c r="E348"/>
      <c r="F348"/>
      <c r="G348"/>
      <c r="H348"/>
      <c r="I348"/>
      <c r="J348"/>
      <c r="K348"/>
      <c r="L348" s="14"/>
      <c r="M348"/>
      <c r="N348"/>
      <c r="O348"/>
      <c r="P348"/>
    </row>
    <row r="349" spans="1:16" x14ac:dyDescent="0.25">
      <c r="A349"/>
      <c r="B349"/>
      <c r="C349"/>
      <c r="D349"/>
      <c r="E349"/>
      <c r="F349"/>
      <c r="G349"/>
      <c r="H349"/>
      <c r="I349"/>
      <c r="J349"/>
      <c r="K349"/>
      <c r="L349" s="14"/>
      <c r="M349"/>
      <c r="N349"/>
      <c r="O349"/>
      <c r="P349"/>
    </row>
    <row r="350" spans="1:16" x14ac:dyDescent="0.25">
      <c r="A350"/>
      <c r="B350"/>
      <c r="C350"/>
      <c r="D350"/>
      <c r="E350"/>
      <c r="F350"/>
      <c r="G350"/>
      <c r="H350"/>
      <c r="I350"/>
      <c r="J350"/>
      <c r="K350"/>
      <c r="L350" s="14"/>
      <c r="M350"/>
      <c r="N350"/>
      <c r="O350"/>
      <c r="P350"/>
    </row>
    <row r="351" spans="1:16" x14ac:dyDescent="0.25">
      <c r="A351"/>
      <c r="B351"/>
      <c r="C351"/>
      <c r="D351"/>
      <c r="E351"/>
      <c r="F351"/>
      <c r="G351"/>
      <c r="H351"/>
      <c r="I351"/>
      <c r="J351"/>
      <c r="K351"/>
      <c r="L351" s="14"/>
      <c r="M351"/>
      <c r="N351"/>
      <c r="O351"/>
      <c r="P351"/>
    </row>
    <row r="352" spans="1:16" x14ac:dyDescent="0.25">
      <c r="A352"/>
      <c r="B352"/>
      <c r="C352"/>
      <c r="D352"/>
      <c r="E352"/>
      <c r="F352"/>
      <c r="G352"/>
      <c r="H352"/>
      <c r="I352"/>
      <c r="J352"/>
      <c r="K352"/>
      <c r="L352" s="14"/>
      <c r="M352"/>
      <c r="N352"/>
      <c r="O352"/>
      <c r="P352"/>
    </row>
    <row r="353" spans="1:16" x14ac:dyDescent="0.25">
      <c r="A353"/>
      <c r="B353"/>
      <c r="C353"/>
      <c r="D353"/>
      <c r="E353"/>
      <c r="F353"/>
      <c r="G353"/>
      <c r="H353"/>
      <c r="I353"/>
      <c r="J353"/>
      <c r="K353"/>
      <c r="L353" s="14"/>
      <c r="M353"/>
      <c r="N353"/>
      <c r="O353"/>
      <c r="P353"/>
    </row>
    <row r="354" spans="1:16" x14ac:dyDescent="0.25">
      <c r="A354"/>
      <c r="B354"/>
      <c r="C354"/>
      <c r="D354"/>
      <c r="E354"/>
      <c r="F354"/>
      <c r="G354"/>
      <c r="H354"/>
      <c r="I354"/>
      <c r="J354"/>
      <c r="K354"/>
      <c r="L354" s="14"/>
      <c r="M354"/>
      <c r="N354"/>
      <c r="O354"/>
      <c r="P354"/>
    </row>
    <row r="355" spans="1:16" x14ac:dyDescent="0.25">
      <c r="A355"/>
      <c r="B355"/>
      <c r="C355"/>
      <c r="D355"/>
      <c r="E355"/>
      <c r="F355"/>
      <c r="G355"/>
      <c r="H355"/>
      <c r="I355"/>
      <c r="J355"/>
      <c r="K355"/>
      <c r="L355" s="14"/>
      <c r="M355"/>
      <c r="N355"/>
      <c r="O355"/>
      <c r="P355"/>
    </row>
    <row r="356" spans="1:16" x14ac:dyDescent="0.25">
      <c r="A356"/>
      <c r="B356"/>
      <c r="C356"/>
      <c r="D356"/>
      <c r="E356"/>
      <c r="F356"/>
      <c r="G356"/>
      <c r="H356"/>
      <c r="I356"/>
      <c r="J356"/>
      <c r="K356"/>
      <c r="L356" s="14"/>
      <c r="M356"/>
      <c r="N356"/>
      <c r="O356"/>
      <c r="P356"/>
    </row>
    <row r="357" spans="1:16" x14ac:dyDescent="0.25">
      <c r="A357"/>
      <c r="B357"/>
      <c r="C357"/>
      <c r="D357"/>
      <c r="E357"/>
      <c r="F357"/>
      <c r="G357"/>
      <c r="H357"/>
      <c r="I357"/>
      <c r="J357"/>
      <c r="K357"/>
      <c r="L357" s="14"/>
      <c r="M357"/>
      <c r="N357"/>
      <c r="O357"/>
      <c r="P357"/>
    </row>
    <row r="358" spans="1:16" x14ac:dyDescent="0.25">
      <c r="A358"/>
      <c r="B358"/>
      <c r="C358"/>
      <c r="D358"/>
      <c r="E358"/>
      <c r="F358"/>
      <c r="G358"/>
      <c r="H358"/>
      <c r="I358"/>
      <c r="J358"/>
      <c r="K358"/>
      <c r="L358" s="14"/>
      <c r="M358"/>
      <c r="N358"/>
      <c r="O358"/>
      <c r="P358"/>
    </row>
    <row r="359" spans="1:16" x14ac:dyDescent="0.25">
      <c r="A359"/>
      <c r="B359"/>
      <c r="C359"/>
      <c r="D359"/>
      <c r="E359"/>
      <c r="F359"/>
      <c r="G359"/>
      <c r="H359"/>
      <c r="I359"/>
      <c r="J359"/>
      <c r="K359"/>
      <c r="L359" s="14"/>
      <c r="M359"/>
      <c r="N359"/>
      <c r="O359"/>
      <c r="P359"/>
    </row>
    <row r="360" spans="1:16" x14ac:dyDescent="0.25">
      <c r="A360"/>
      <c r="B360"/>
      <c r="C360"/>
      <c r="D360"/>
      <c r="E360"/>
      <c r="F360"/>
      <c r="G360"/>
      <c r="H360"/>
      <c r="I360"/>
      <c r="J360"/>
      <c r="K360"/>
      <c r="L360" s="14"/>
      <c r="M360"/>
      <c r="N360"/>
      <c r="O360"/>
      <c r="P360"/>
    </row>
    <row r="361" spans="1:16" x14ac:dyDescent="0.25">
      <c r="A361"/>
      <c r="B361"/>
      <c r="C361"/>
      <c r="D361"/>
      <c r="E361"/>
      <c r="F361"/>
      <c r="G361"/>
      <c r="H361"/>
      <c r="I361"/>
      <c r="J361"/>
      <c r="K361"/>
      <c r="L361" s="14"/>
      <c r="M361"/>
      <c r="N361"/>
      <c r="O361"/>
      <c r="P361"/>
    </row>
    <row r="362" spans="1:16" x14ac:dyDescent="0.25">
      <c r="A362"/>
      <c r="B362"/>
      <c r="C362"/>
      <c r="D362"/>
      <c r="E362"/>
      <c r="F362"/>
      <c r="G362"/>
      <c r="H362"/>
      <c r="I362"/>
      <c r="J362"/>
      <c r="K362"/>
      <c r="L362" s="14"/>
      <c r="M362"/>
      <c r="N362"/>
      <c r="O362"/>
      <c r="P362"/>
    </row>
    <row r="363" spans="1:16" x14ac:dyDescent="0.25">
      <c r="A363"/>
      <c r="B363"/>
      <c r="C363"/>
      <c r="D363"/>
      <c r="E363"/>
      <c r="F363"/>
      <c r="G363"/>
      <c r="H363"/>
      <c r="I363"/>
      <c r="J363"/>
      <c r="K363"/>
      <c r="L363" s="14"/>
      <c r="M363"/>
      <c r="N363"/>
      <c r="O363"/>
      <c r="P363"/>
    </row>
    <row r="364" spans="1:16" x14ac:dyDescent="0.25">
      <c r="A364"/>
      <c r="B364"/>
      <c r="C364"/>
      <c r="D364"/>
      <c r="E364"/>
      <c r="F364"/>
      <c r="G364"/>
      <c r="H364"/>
      <c r="I364"/>
      <c r="J364"/>
      <c r="K364"/>
      <c r="L364" s="14"/>
      <c r="M364"/>
      <c r="N364"/>
      <c r="O364"/>
      <c r="P364"/>
    </row>
    <row r="365" spans="1:16" x14ac:dyDescent="0.25">
      <c r="A365"/>
      <c r="B365"/>
      <c r="C365"/>
      <c r="D365"/>
      <c r="E365"/>
      <c r="F365"/>
      <c r="G365"/>
      <c r="H365"/>
      <c r="I365"/>
      <c r="J365"/>
      <c r="K365"/>
      <c r="L365" s="14"/>
      <c r="M365"/>
      <c r="N365"/>
      <c r="O365"/>
      <c r="P365"/>
    </row>
    <row r="366" spans="1:16" x14ac:dyDescent="0.25">
      <c r="A366"/>
      <c r="B366"/>
      <c r="C366"/>
      <c r="D366"/>
      <c r="E366"/>
      <c r="F366"/>
      <c r="G366"/>
      <c r="H366"/>
      <c r="I366"/>
      <c r="J366"/>
      <c r="K366"/>
      <c r="L366" s="14"/>
      <c r="M366"/>
      <c r="N366"/>
      <c r="O366"/>
      <c r="P366"/>
    </row>
    <row r="367" spans="1:16" x14ac:dyDescent="0.25">
      <c r="A367"/>
      <c r="B367"/>
      <c r="C367"/>
      <c r="D367"/>
      <c r="E367"/>
      <c r="F367"/>
      <c r="G367"/>
      <c r="H367"/>
      <c r="I367"/>
      <c r="J367"/>
      <c r="K367"/>
      <c r="L367" s="14"/>
      <c r="M367"/>
      <c r="N367"/>
      <c r="O367"/>
      <c r="P367"/>
    </row>
    <row r="368" spans="1:16" x14ac:dyDescent="0.25">
      <c r="A368"/>
      <c r="B368"/>
      <c r="C368"/>
      <c r="D368"/>
      <c r="E368"/>
      <c r="F368"/>
      <c r="G368"/>
      <c r="H368"/>
      <c r="I368"/>
      <c r="J368"/>
      <c r="K368"/>
      <c r="L368" s="14"/>
      <c r="M368"/>
      <c r="N368"/>
      <c r="O368"/>
      <c r="P368"/>
    </row>
    <row r="369" spans="1:16" x14ac:dyDescent="0.25">
      <c r="A369"/>
      <c r="B369"/>
      <c r="C369"/>
      <c r="D369"/>
      <c r="E369"/>
      <c r="F369"/>
      <c r="G369"/>
      <c r="H369"/>
      <c r="I369"/>
      <c r="J369"/>
      <c r="K369"/>
      <c r="L369" s="14"/>
      <c r="M369"/>
      <c r="N369"/>
      <c r="O369"/>
      <c r="P369"/>
    </row>
    <row r="370" spans="1:16" x14ac:dyDescent="0.25">
      <c r="A370"/>
      <c r="B370"/>
      <c r="C370"/>
      <c r="D370"/>
      <c r="E370"/>
      <c r="F370"/>
      <c r="G370"/>
      <c r="H370"/>
      <c r="I370"/>
      <c r="J370"/>
      <c r="K370"/>
      <c r="L370" s="14"/>
      <c r="M370"/>
      <c r="N370"/>
      <c r="O370"/>
      <c r="P370"/>
    </row>
    <row r="371" spans="1:16" x14ac:dyDescent="0.25">
      <c r="A371"/>
      <c r="B371"/>
      <c r="C371"/>
      <c r="D371"/>
      <c r="E371"/>
      <c r="F371"/>
      <c r="G371"/>
      <c r="H371"/>
      <c r="I371"/>
      <c r="J371"/>
      <c r="K371"/>
      <c r="L371" s="14"/>
      <c r="M371"/>
      <c r="N371"/>
      <c r="O371"/>
      <c r="P371"/>
    </row>
    <row r="372" spans="1:16" x14ac:dyDescent="0.25">
      <c r="A372"/>
      <c r="B372"/>
      <c r="C372"/>
      <c r="D372"/>
      <c r="E372"/>
      <c r="F372"/>
      <c r="G372"/>
      <c r="H372"/>
      <c r="I372"/>
      <c r="J372"/>
      <c r="K372"/>
      <c r="L372" s="14"/>
      <c r="M372"/>
      <c r="N372"/>
      <c r="O372"/>
      <c r="P372"/>
    </row>
    <row r="373" spans="1:16" x14ac:dyDescent="0.25">
      <c r="A373"/>
      <c r="B373"/>
      <c r="C373"/>
      <c r="D373"/>
      <c r="E373"/>
      <c r="F373"/>
      <c r="G373"/>
      <c r="H373"/>
      <c r="I373"/>
      <c r="J373"/>
      <c r="K373"/>
      <c r="L373" s="14"/>
      <c r="M373"/>
      <c r="N373"/>
      <c r="O373"/>
      <c r="P373"/>
    </row>
    <row r="374" spans="1:16" x14ac:dyDescent="0.25">
      <c r="A374"/>
      <c r="B374"/>
      <c r="C374"/>
      <c r="D374"/>
      <c r="E374"/>
      <c r="F374"/>
      <c r="G374"/>
      <c r="H374"/>
      <c r="I374"/>
      <c r="J374"/>
      <c r="K374"/>
      <c r="L374" s="14"/>
      <c r="M374"/>
      <c r="N374"/>
      <c r="O374"/>
      <c r="P374"/>
    </row>
    <row r="375" spans="1:16" x14ac:dyDescent="0.25">
      <c r="A375"/>
      <c r="B375"/>
      <c r="C375"/>
      <c r="D375"/>
      <c r="E375"/>
      <c r="F375"/>
      <c r="G375"/>
      <c r="H375"/>
      <c r="I375"/>
      <c r="J375"/>
      <c r="K375"/>
      <c r="L375" s="14"/>
      <c r="M375"/>
      <c r="N375"/>
      <c r="O375"/>
      <c r="P375"/>
    </row>
    <row r="376" spans="1:16" x14ac:dyDescent="0.25">
      <c r="A376"/>
      <c r="B376"/>
      <c r="C376"/>
      <c r="D376"/>
      <c r="E376"/>
      <c r="F376"/>
      <c r="G376"/>
      <c r="H376"/>
      <c r="I376"/>
      <c r="J376"/>
      <c r="K376"/>
      <c r="L376" s="14"/>
      <c r="M376"/>
      <c r="N376"/>
      <c r="O376"/>
      <c r="P376"/>
    </row>
    <row r="377" spans="1:16" x14ac:dyDescent="0.25">
      <c r="A377"/>
      <c r="B377"/>
      <c r="C377"/>
      <c r="D377"/>
      <c r="E377"/>
      <c r="F377"/>
      <c r="G377"/>
      <c r="H377"/>
      <c r="I377"/>
      <c r="J377"/>
      <c r="K377"/>
      <c r="L377" s="14"/>
      <c r="M377"/>
      <c r="N377"/>
      <c r="O377"/>
      <c r="P377"/>
    </row>
    <row r="378" spans="1:16" x14ac:dyDescent="0.25">
      <c r="A378"/>
      <c r="B378"/>
      <c r="C378"/>
      <c r="D378"/>
      <c r="E378"/>
      <c r="F378"/>
      <c r="G378"/>
      <c r="H378"/>
      <c r="I378"/>
      <c r="J378"/>
      <c r="K378"/>
      <c r="L378" s="14"/>
      <c r="M378"/>
      <c r="N378"/>
      <c r="O378"/>
      <c r="P378"/>
    </row>
    <row r="379" spans="1:16" x14ac:dyDescent="0.25">
      <c r="A379"/>
      <c r="B379"/>
      <c r="C379"/>
      <c r="D379"/>
      <c r="E379"/>
      <c r="F379"/>
      <c r="G379"/>
      <c r="H379"/>
      <c r="I379"/>
      <c r="J379"/>
      <c r="K379"/>
      <c r="L379" s="14"/>
      <c r="M379"/>
      <c r="N379"/>
      <c r="O379"/>
      <c r="P379"/>
    </row>
    <row r="380" spans="1:16" x14ac:dyDescent="0.25">
      <c r="A380"/>
      <c r="B380"/>
      <c r="C380"/>
      <c r="D380"/>
      <c r="E380"/>
      <c r="F380"/>
      <c r="G380"/>
      <c r="H380"/>
      <c r="I380"/>
      <c r="J380"/>
      <c r="K380"/>
      <c r="L380" s="14"/>
      <c r="M380"/>
      <c r="N380"/>
      <c r="O380"/>
      <c r="P380"/>
    </row>
    <row r="381" spans="1:16" x14ac:dyDescent="0.25">
      <c r="A381"/>
      <c r="B381"/>
      <c r="C381"/>
      <c r="D381"/>
      <c r="E381"/>
      <c r="F381"/>
      <c r="G381"/>
      <c r="H381"/>
      <c r="I381"/>
      <c r="J381"/>
      <c r="K381"/>
      <c r="L381" s="14"/>
      <c r="M381"/>
      <c r="N381"/>
      <c r="O381"/>
      <c r="P381"/>
    </row>
    <row r="382" spans="1:16" x14ac:dyDescent="0.25">
      <c r="A382"/>
      <c r="B382"/>
      <c r="C382"/>
      <c r="D382"/>
      <c r="E382"/>
      <c r="F382"/>
      <c r="G382"/>
      <c r="H382"/>
      <c r="I382"/>
      <c r="J382"/>
      <c r="K382"/>
      <c r="L382" s="14"/>
      <c r="M382"/>
      <c r="N382"/>
      <c r="O382"/>
      <c r="P382"/>
    </row>
    <row r="383" spans="1:16" x14ac:dyDescent="0.25">
      <c r="A383"/>
      <c r="B383"/>
      <c r="C383"/>
      <c r="D383"/>
      <c r="E383"/>
      <c r="F383"/>
      <c r="G383"/>
      <c r="H383"/>
      <c r="I383"/>
      <c r="J383"/>
      <c r="K383"/>
      <c r="L383" s="14"/>
      <c r="M383"/>
      <c r="N383"/>
      <c r="O383"/>
      <c r="P383"/>
    </row>
    <row r="384" spans="1:16" x14ac:dyDescent="0.25">
      <c r="A384"/>
      <c r="B384"/>
      <c r="C384"/>
      <c r="D384"/>
      <c r="E384"/>
      <c r="F384"/>
      <c r="G384"/>
      <c r="H384"/>
      <c r="I384"/>
      <c r="J384"/>
      <c r="K384"/>
      <c r="L384" s="14"/>
      <c r="M384"/>
      <c r="N384"/>
      <c r="O384"/>
      <c r="P384"/>
    </row>
    <row r="385" spans="1:16" x14ac:dyDescent="0.25">
      <c r="A385"/>
      <c r="B385"/>
      <c r="C385"/>
      <c r="D385"/>
      <c r="E385"/>
      <c r="F385"/>
      <c r="G385"/>
      <c r="H385"/>
      <c r="I385"/>
      <c r="J385"/>
      <c r="K385"/>
      <c r="L385" s="14"/>
      <c r="M385"/>
      <c r="N385"/>
      <c r="O385"/>
      <c r="P385"/>
    </row>
    <row r="386" spans="1:16" x14ac:dyDescent="0.25">
      <c r="A386"/>
      <c r="B386"/>
      <c r="C386"/>
      <c r="D386"/>
      <c r="E386"/>
      <c r="F386"/>
      <c r="G386"/>
      <c r="H386"/>
      <c r="I386"/>
      <c r="J386"/>
      <c r="K386"/>
      <c r="L386" s="14"/>
      <c r="M386"/>
      <c r="N386"/>
      <c r="O386"/>
      <c r="P386"/>
    </row>
    <row r="387" spans="1:16" x14ac:dyDescent="0.25">
      <c r="A387"/>
      <c r="B387"/>
      <c r="C387"/>
      <c r="D387"/>
      <c r="E387"/>
      <c r="F387"/>
      <c r="G387"/>
      <c r="H387"/>
      <c r="I387"/>
      <c r="J387"/>
      <c r="K387"/>
      <c r="L387" s="14"/>
      <c r="M387"/>
      <c r="N387"/>
      <c r="O387"/>
      <c r="P387"/>
    </row>
    <row r="388" spans="1:16" x14ac:dyDescent="0.25">
      <c r="A388"/>
      <c r="B388"/>
      <c r="C388"/>
      <c r="D388"/>
      <c r="E388"/>
      <c r="F388"/>
      <c r="G388"/>
      <c r="H388"/>
      <c r="I388"/>
      <c r="J388"/>
      <c r="K388"/>
      <c r="L388" s="14"/>
      <c r="M388"/>
      <c r="N388"/>
      <c r="O388"/>
      <c r="P388"/>
    </row>
    <row r="389" spans="1:16" x14ac:dyDescent="0.25">
      <c r="A389"/>
      <c r="B389"/>
      <c r="C389"/>
      <c r="D389"/>
      <c r="E389"/>
      <c r="F389"/>
      <c r="G389"/>
      <c r="H389"/>
      <c r="I389"/>
      <c r="J389"/>
      <c r="K389"/>
      <c r="L389" s="14"/>
      <c r="M389"/>
      <c r="N389"/>
      <c r="O389"/>
      <c r="P389"/>
    </row>
    <row r="390" spans="1:16" x14ac:dyDescent="0.25">
      <c r="A390"/>
      <c r="B390"/>
      <c r="C390"/>
      <c r="D390"/>
      <c r="E390"/>
      <c r="F390"/>
      <c r="G390"/>
      <c r="H390"/>
      <c r="I390"/>
      <c r="J390"/>
      <c r="K390"/>
      <c r="L390" s="14"/>
      <c r="M390"/>
      <c r="N390"/>
      <c r="O390"/>
      <c r="P390"/>
    </row>
    <row r="391" spans="1:16" x14ac:dyDescent="0.25">
      <c r="A391"/>
      <c r="B391"/>
      <c r="C391"/>
      <c r="D391"/>
      <c r="E391"/>
      <c r="F391"/>
      <c r="G391"/>
      <c r="H391"/>
      <c r="I391"/>
      <c r="J391"/>
      <c r="K391"/>
      <c r="L391" s="14"/>
      <c r="M391"/>
      <c r="N391"/>
      <c r="O391"/>
      <c r="P391"/>
    </row>
    <row r="392" spans="1:16" x14ac:dyDescent="0.25">
      <c r="A392"/>
      <c r="B392"/>
      <c r="C392"/>
      <c r="D392"/>
      <c r="E392"/>
      <c r="F392"/>
      <c r="G392"/>
      <c r="H392"/>
      <c r="I392"/>
      <c r="J392"/>
      <c r="K392"/>
      <c r="L392" s="14"/>
      <c r="M392"/>
      <c r="N392"/>
      <c r="O392"/>
      <c r="P392"/>
    </row>
    <row r="393" spans="1:16" x14ac:dyDescent="0.25">
      <c r="A393"/>
      <c r="B393"/>
      <c r="C393"/>
      <c r="D393"/>
      <c r="E393"/>
      <c r="F393"/>
      <c r="G393"/>
      <c r="H393"/>
      <c r="I393"/>
      <c r="J393"/>
      <c r="K393"/>
      <c r="L393" s="14"/>
      <c r="M393"/>
      <c r="N393"/>
      <c r="O393"/>
      <c r="P393"/>
    </row>
    <row r="394" spans="1:16" x14ac:dyDescent="0.25">
      <c r="A394"/>
      <c r="B394"/>
      <c r="C394"/>
      <c r="D394"/>
      <c r="E394"/>
      <c r="F394"/>
      <c r="G394"/>
      <c r="H394"/>
      <c r="I394"/>
      <c r="J394"/>
      <c r="K394"/>
      <c r="L394" s="14"/>
      <c r="M394"/>
      <c r="N394"/>
      <c r="O394"/>
      <c r="P394"/>
    </row>
    <row r="395" spans="1:16" x14ac:dyDescent="0.25">
      <c r="A395"/>
      <c r="B395"/>
      <c r="C395"/>
      <c r="D395"/>
      <c r="E395"/>
      <c r="F395"/>
      <c r="G395"/>
      <c r="H395"/>
      <c r="I395"/>
      <c r="J395"/>
      <c r="K395"/>
      <c r="L395" s="14"/>
      <c r="M395"/>
      <c r="N395"/>
      <c r="O395"/>
      <c r="P395"/>
    </row>
    <row r="396" spans="1:16" x14ac:dyDescent="0.25">
      <c r="A396"/>
      <c r="B396"/>
      <c r="C396"/>
      <c r="D396"/>
      <c r="E396"/>
      <c r="F396"/>
      <c r="G396"/>
      <c r="H396"/>
      <c r="I396"/>
      <c r="J396"/>
      <c r="K396"/>
      <c r="L396" s="14"/>
      <c r="M396"/>
      <c r="N396"/>
      <c r="O396"/>
      <c r="P396"/>
    </row>
    <row r="397" spans="1:16" x14ac:dyDescent="0.25">
      <c r="A397"/>
      <c r="B397"/>
      <c r="C397"/>
      <c r="D397"/>
      <c r="E397"/>
      <c r="F397"/>
      <c r="G397"/>
      <c r="H397"/>
      <c r="I397"/>
      <c r="J397"/>
      <c r="K397"/>
      <c r="L397" s="14"/>
      <c r="M397"/>
      <c r="N397"/>
      <c r="O397"/>
      <c r="P397"/>
    </row>
    <row r="398" spans="1:16" x14ac:dyDescent="0.25">
      <c r="A398"/>
      <c r="B398"/>
      <c r="C398"/>
      <c r="D398"/>
      <c r="E398"/>
      <c r="F398"/>
      <c r="G398"/>
      <c r="H398"/>
      <c r="I398"/>
      <c r="J398"/>
      <c r="K398"/>
      <c r="L398" s="14"/>
      <c r="M398"/>
      <c r="N398"/>
      <c r="O398"/>
      <c r="P398"/>
    </row>
    <row r="399" spans="1:16" x14ac:dyDescent="0.25">
      <c r="A399"/>
      <c r="B399"/>
      <c r="C399"/>
      <c r="D399"/>
      <c r="E399"/>
      <c r="F399"/>
      <c r="G399"/>
      <c r="H399"/>
      <c r="I399"/>
      <c r="J399"/>
      <c r="K399"/>
      <c r="L399" s="14"/>
      <c r="M399"/>
      <c r="N399"/>
      <c r="O399"/>
      <c r="P399"/>
    </row>
    <row r="400" spans="1:16" x14ac:dyDescent="0.25">
      <c r="A400"/>
      <c r="B400"/>
      <c r="C400"/>
      <c r="D400"/>
      <c r="E400"/>
      <c r="F400"/>
      <c r="G400"/>
      <c r="H400"/>
      <c r="I400"/>
      <c r="J400"/>
      <c r="K400"/>
      <c r="L400" s="14"/>
      <c r="M400"/>
      <c r="N400"/>
      <c r="O400"/>
      <c r="P400"/>
    </row>
    <row r="401" spans="1:16" x14ac:dyDescent="0.25">
      <c r="A401"/>
      <c r="B401"/>
      <c r="C401"/>
      <c r="D401"/>
      <c r="E401"/>
      <c r="F401"/>
      <c r="G401"/>
      <c r="H401"/>
      <c r="I401"/>
      <c r="J401"/>
      <c r="K401"/>
      <c r="L401" s="14"/>
      <c r="M401"/>
      <c r="N401"/>
      <c r="O401"/>
      <c r="P401"/>
    </row>
    <row r="402" spans="1:16" x14ac:dyDescent="0.25">
      <c r="A402"/>
      <c r="B402"/>
      <c r="C402"/>
      <c r="D402"/>
      <c r="E402"/>
      <c r="F402"/>
      <c r="G402"/>
      <c r="H402"/>
      <c r="I402"/>
      <c r="J402"/>
      <c r="K402"/>
      <c r="L402" s="14"/>
      <c r="M402"/>
      <c r="N402"/>
      <c r="O402"/>
      <c r="P402"/>
    </row>
    <row r="403" spans="1:16" x14ac:dyDescent="0.25">
      <c r="A403"/>
      <c r="B403"/>
      <c r="C403"/>
      <c r="D403"/>
      <c r="E403"/>
      <c r="F403"/>
      <c r="G403"/>
      <c r="H403"/>
      <c r="I403"/>
      <c r="J403"/>
      <c r="K403"/>
      <c r="L403" s="14"/>
      <c r="M403"/>
      <c r="N403"/>
      <c r="O403"/>
      <c r="P403"/>
    </row>
    <row r="404" spans="1:16" x14ac:dyDescent="0.25">
      <c r="A404"/>
      <c r="B404"/>
      <c r="C404"/>
      <c r="D404"/>
      <c r="E404"/>
      <c r="F404"/>
      <c r="G404"/>
      <c r="H404"/>
      <c r="I404"/>
      <c r="J404"/>
      <c r="K404"/>
      <c r="L404" s="14"/>
      <c r="M404"/>
      <c r="N404"/>
      <c r="O404"/>
      <c r="P404"/>
    </row>
    <row r="405" spans="1:16" x14ac:dyDescent="0.25">
      <c r="A405"/>
      <c r="B405"/>
      <c r="C405"/>
      <c r="D405"/>
      <c r="E405"/>
      <c r="F405"/>
      <c r="G405"/>
      <c r="H405"/>
      <c r="I405"/>
      <c r="J405"/>
      <c r="K405"/>
      <c r="L405" s="14"/>
      <c r="M405"/>
      <c r="N405"/>
      <c r="O405"/>
      <c r="P405"/>
    </row>
    <row r="406" spans="1:16" x14ac:dyDescent="0.25">
      <c r="A406"/>
      <c r="B406"/>
      <c r="C406"/>
      <c r="D406"/>
      <c r="E406"/>
      <c r="F406"/>
      <c r="G406"/>
      <c r="H406"/>
      <c r="I406"/>
      <c r="J406"/>
      <c r="K406"/>
      <c r="L406" s="14"/>
      <c r="M406"/>
      <c r="N406"/>
      <c r="O406"/>
      <c r="P406"/>
    </row>
    <row r="407" spans="1:16" x14ac:dyDescent="0.25">
      <c r="A407"/>
      <c r="B407"/>
      <c r="C407"/>
      <c r="D407"/>
      <c r="E407"/>
      <c r="F407"/>
      <c r="G407"/>
      <c r="H407"/>
      <c r="I407"/>
      <c r="J407"/>
      <c r="K407"/>
      <c r="L407" s="14"/>
      <c r="M407"/>
      <c r="N407"/>
      <c r="O407"/>
      <c r="P407"/>
    </row>
    <row r="408" spans="1:16" x14ac:dyDescent="0.25">
      <c r="A408"/>
      <c r="B408"/>
      <c r="C408"/>
      <c r="D408"/>
      <c r="E408"/>
      <c r="F408"/>
      <c r="G408"/>
      <c r="H408"/>
      <c r="I408"/>
      <c r="J408"/>
      <c r="K408"/>
      <c r="L408" s="14"/>
      <c r="M408"/>
      <c r="N408"/>
      <c r="O408"/>
      <c r="P408"/>
    </row>
    <row r="409" spans="1:16" x14ac:dyDescent="0.25">
      <c r="A409"/>
      <c r="B409"/>
      <c r="C409"/>
      <c r="D409"/>
      <c r="E409"/>
      <c r="F409"/>
      <c r="G409"/>
      <c r="H409"/>
      <c r="I409"/>
      <c r="J409"/>
      <c r="K409"/>
      <c r="L409" s="14"/>
      <c r="M409"/>
      <c r="N409"/>
      <c r="O409"/>
      <c r="P409"/>
    </row>
    <row r="410" spans="1:16" x14ac:dyDescent="0.25">
      <c r="A410"/>
      <c r="B410"/>
      <c r="C410"/>
      <c r="D410"/>
      <c r="E410"/>
      <c r="F410"/>
      <c r="G410"/>
      <c r="H410"/>
      <c r="I410"/>
      <c r="J410"/>
      <c r="K410"/>
      <c r="L410" s="14"/>
      <c r="M410"/>
      <c r="N410"/>
      <c r="O410"/>
      <c r="P410"/>
    </row>
    <row r="411" spans="1:16" x14ac:dyDescent="0.25">
      <c r="A411"/>
      <c r="B411"/>
      <c r="C411"/>
      <c r="D411"/>
      <c r="E411"/>
      <c r="F411"/>
      <c r="G411"/>
      <c r="H411"/>
      <c r="I411"/>
      <c r="J411"/>
      <c r="K411"/>
      <c r="L411" s="14"/>
      <c r="M411"/>
      <c r="N411"/>
      <c r="O411"/>
      <c r="P411"/>
    </row>
    <row r="412" spans="1:16" x14ac:dyDescent="0.25">
      <c r="A412"/>
      <c r="B412"/>
      <c r="C412"/>
      <c r="D412"/>
      <c r="E412"/>
      <c r="F412"/>
      <c r="G412"/>
      <c r="H412"/>
      <c r="I412"/>
      <c r="J412"/>
      <c r="K412"/>
      <c r="L412" s="14"/>
      <c r="M412"/>
      <c r="N412"/>
      <c r="O412"/>
      <c r="P412"/>
    </row>
    <row r="413" spans="1:16" x14ac:dyDescent="0.25">
      <c r="A413"/>
      <c r="B413"/>
      <c r="C413"/>
      <c r="D413"/>
      <c r="E413"/>
      <c r="F413"/>
      <c r="G413"/>
      <c r="H413"/>
      <c r="I413"/>
      <c r="J413"/>
      <c r="K413"/>
      <c r="L413" s="14"/>
      <c r="M413"/>
      <c r="N413"/>
      <c r="O413"/>
      <c r="P413"/>
    </row>
    <row r="414" spans="1:16" x14ac:dyDescent="0.25">
      <c r="A414"/>
      <c r="B414"/>
      <c r="C414"/>
      <c r="D414"/>
      <c r="E414"/>
      <c r="F414"/>
      <c r="G414"/>
      <c r="H414"/>
      <c r="I414"/>
      <c r="J414"/>
      <c r="K414"/>
      <c r="L414" s="14"/>
      <c r="M414"/>
      <c r="N414"/>
      <c r="O414"/>
      <c r="P414"/>
    </row>
    <row r="415" spans="1:16" x14ac:dyDescent="0.25">
      <c r="A415"/>
      <c r="B415"/>
      <c r="C415"/>
      <c r="D415"/>
      <c r="E415"/>
      <c r="F415"/>
      <c r="G415"/>
      <c r="H415"/>
      <c r="I415"/>
      <c r="J415"/>
      <c r="K415"/>
      <c r="L415" s="14"/>
      <c r="M415"/>
      <c r="N415"/>
      <c r="O415"/>
      <c r="P415"/>
    </row>
    <row r="416" spans="1:16" x14ac:dyDescent="0.25">
      <c r="A416"/>
      <c r="B416"/>
      <c r="C416"/>
      <c r="D416"/>
      <c r="E416"/>
      <c r="F416"/>
      <c r="G416"/>
      <c r="H416"/>
      <c r="I416"/>
      <c r="J416"/>
      <c r="K416"/>
      <c r="L416" s="14"/>
      <c r="M416"/>
      <c r="N416"/>
      <c r="O416"/>
      <c r="P416"/>
    </row>
    <row r="417" spans="1:16" x14ac:dyDescent="0.25">
      <c r="A417"/>
      <c r="B417"/>
      <c r="C417"/>
      <c r="D417"/>
      <c r="E417"/>
      <c r="F417"/>
      <c r="G417"/>
      <c r="H417"/>
      <c r="I417"/>
      <c r="J417"/>
      <c r="K417"/>
      <c r="L417" s="14"/>
      <c r="M417"/>
      <c r="N417"/>
      <c r="O417"/>
      <c r="P417"/>
    </row>
    <row r="418" spans="1:16" x14ac:dyDescent="0.25">
      <c r="A418"/>
      <c r="B418"/>
      <c r="C418"/>
      <c r="D418"/>
      <c r="E418"/>
      <c r="F418"/>
      <c r="G418"/>
      <c r="H418"/>
      <c r="I418"/>
      <c r="J418"/>
      <c r="K418"/>
      <c r="L418" s="14"/>
      <c r="M418"/>
      <c r="N418"/>
      <c r="O418"/>
      <c r="P418"/>
    </row>
    <row r="419" spans="1:16" x14ac:dyDescent="0.25">
      <c r="A419"/>
      <c r="B419"/>
      <c r="C419"/>
      <c r="D419"/>
      <c r="E419"/>
      <c r="F419"/>
      <c r="G419"/>
      <c r="H419"/>
      <c r="I419"/>
      <c r="J419"/>
      <c r="K419"/>
      <c r="L419" s="14"/>
      <c r="M419"/>
      <c r="N419"/>
      <c r="O419"/>
      <c r="P419"/>
    </row>
    <row r="420" spans="1:16" x14ac:dyDescent="0.25">
      <c r="A420"/>
      <c r="B420"/>
      <c r="C420"/>
      <c r="D420"/>
      <c r="E420"/>
      <c r="F420"/>
      <c r="G420"/>
      <c r="H420"/>
      <c r="I420"/>
      <c r="J420"/>
      <c r="K420"/>
      <c r="L420" s="14"/>
      <c r="M420"/>
      <c r="N420"/>
      <c r="O420"/>
      <c r="P420"/>
    </row>
    <row r="421" spans="1:16" x14ac:dyDescent="0.25">
      <c r="A421"/>
      <c r="B421"/>
      <c r="C421"/>
      <c r="D421"/>
      <c r="E421"/>
      <c r="F421"/>
      <c r="G421"/>
      <c r="H421"/>
      <c r="I421"/>
      <c r="J421"/>
      <c r="K421"/>
      <c r="L421" s="14"/>
      <c r="M421"/>
      <c r="N421"/>
      <c r="O421"/>
      <c r="P421"/>
    </row>
    <row r="422" spans="1:16" x14ac:dyDescent="0.25">
      <c r="A422"/>
      <c r="B422"/>
      <c r="C422"/>
      <c r="D422"/>
      <c r="E422"/>
      <c r="F422"/>
      <c r="G422"/>
      <c r="H422"/>
      <c r="I422"/>
      <c r="J422"/>
      <c r="K422"/>
      <c r="L422" s="14"/>
      <c r="M422"/>
      <c r="N422"/>
      <c r="O422"/>
      <c r="P422"/>
    </row>
    <row r="423" spans="1:16" x14ac:dyDescent="0.25">
      <c r="A423"/>
      <c r="B423"/>
      <c r="C423"/>
      <c r="D423"/>
      <c r="E423"/>
      <c r="F423"/>
      <c r="G423"/>
      <c r="H423"/>
      <c r="I423"/>
      <c r="J423"/>
      <c r="K423"/>
      <c r="L423" s="14"/>
      <c r="M423"/>
      <c r="N423"/>
      <c r="O423"/>
      <c r="P423"/>
    </row>
    <row r="424" spans="1:16" x14ac:dyDescent="0.25">
      <c r="A424"/>
      <c r="B424"/>
      <c r="C424"/>
      <c r="D424"/>
      <c r="E424"/>
      <c r="F424"/>
      <c r="G424"/>
      <c r="H424"/>
      <c r="I424"/>
      <c r="J424"/>
      <c r="K424"/>
      <c r="L424" s="14"/>
      <c r="M424"/>
      <c r="N424"/>
      <c r="O424"/>
      <c r="P424"/>
    </row>
    <row r="425" spans="1:16" x14ac:dyDescent="0.25">
      <c r="A425"/>
      <c r="B425"/>
      <c r="C425"/>
      <c r="D425"/>
      <c r="E425"/>
      <c r="F425"/>
      <c r="G425"/>
      <c r="H425"/>
      <c r="I425"/>
      <c r="J425"/>
      <c r="K425"/>
      <c r="L425" s="14"/>
      <c r="M425"/>
      <c r="N425"/>
      <c r="O425"/>
      <c r="P425"/>
    </row>
    <row r="426" spans="1:16" x14ac:dyDescent="0.25">
      <c r="A426"/>
      <c r="B426"/>
      <c r="C426"/>
      <c r="D426"/>
      <c r="E426"/>
      <c r="F426"/>
      <c r="G426"/>
      <c r="H426"/>
      <c r="I426"/>
      <c r="J426"/>
      <c r="K426"/>
      <c r="L426" s="14"/>
      <c r="M426"/>
      <c r="N426"/>
      <c r="O426"/>
      <c r="P426"/>
    </row>
    <row r="427" spans="1:16" x14ac:dyDescent="0.25">
      <c r="A427"/>
      <c r="B427"/>
      <c r="C427"/>
      <c r="D427"/>
      <c r="E427"/>
      <c r="F427"/>
      <c r="G427"/>
      <c r="H427"/>
      <c r="I427"/>
      <c r="J427"/>
      <c r="K427"/>
      <c r="L427" s="14"/>
      <c r="M427"/>
      <c r="N427"/>
      <c r="O427"/>
      <c r="P427"/>
    </row>
    <row r="428" spans="1:16" x14ac:dyDescent="0.25">
      <c r="A428"/>
      <c r="B428"/>
      <c r="C428"/>
      <c r="D428"/>
      <c r="E428"/>
      <c r="F428"/>
      <c r="G428"/>
      <c r="H428"/>
      <c r="I428"/>
      <c r="J428"/>
      <c r="K428"/>
      <c r="L428" s="14"/>
      <c r="M428"/>
      <c r="N428"/>
      <c r="O428"/>
      <c r="P428"/>
    </row>
    <row r="429" spans="1:16" x14ac:dyDescent="0.25">
      <c r="A429"/>
      <c r="B429"/>
      <c r="C429"/>
      <c r="D429"/>
      <c r="E429"/>
      <c r="F429"/>
      <c r="G429"/>
      <c r="H429"/>
      <c r="I429"/>
      <c r="J429"/>
      <c r="K429"/>
      <c r="L429" s="14"/>
      <c r="M429"/>
      <c r="N429"/>
      <c r="O429"/>
      <c r="P429"/>
    </row>
    <row r="430" spans="1:16" x14ac:dyDescent="0.25">
      <c r="A430"/>
      <c r="B430"/>
      <c r="C430"/>
      <c r="D430"/>
      <c r="E430"/>
      <c r="F430"/>
      <c r="G430"/>
      <c r="H430"/>
      <c r="I430"/>
      <c r="J430"/>
      <c r="K430"/>
      <c r="L430" s="14"/>
      <c r="M430"/>
      <c r="N430"/>
      <c r="O430"/>
      <c r="P430"/>
    </row>
    <row r="431" spans="1:16" x14ac:dyDescent="0.25">
      <c r="A431"/>
      <c r="B431"/>
      <c r="C431"/>
      <c r="D431"/>
      <c r="E431"/>
      <c r="F431"/>
      <c r="G431"/>
      <c r="H431"/>
      <c r="I431"/>
      <c r="J431"/>
      <c r="K431"/>
      <c r="L431" s="14"/>
      <c r="M431"/>
      <c r="N431"/>
      <c r="O431"/>
      <c r="P431"/>
    </row>
    <row r="432" spans="1:16" x14ac:dyDescent="0.25">
      <c r="A432"/>
      <c r="B432"/>
      <c r="C432"/>
      <c r="D432"/>
      <c r="E432"/>
      <c r="F432"/>
      <c r="G432"/>
      <c r="H432"/>
      <c r="I432"/>
      <c r="J432"/>
      <c r="K432"/>
      <c r="L432" s="14"/>
      <c r="M432"/>
      <c r="N432"/>
      <c r="O432"/>
      <c r="P432"/>
    </row>
    <row r="433" spans="1:16" x14ac:dyDescent="0.25">
      <c r="A433"/>
      <c r="B433"/>
      <c r="C433"/>
      <c r="D433"/>
      <c r="E433"/>
      <c r="F433"/>
      <c r="G433"/>
      <c r="H433"/>
      <c r="I433"/>
      <c r="J433"/>
      <c r="K433"/>
      <c r="L433" s="14"/>
      <c r="M433"/>
      <c r="N433"/>
      <c r="O433"/>
      <c r="P433"/>
    </row>
    <row r="434" spans="1:16" x14ac:dyDescent="0.25">
      <c r="A434"/>
      <c r="B434"/>
      <c r="C434"/>
      <c r="D434"/>
      <c r="E434"/>
      <c r="F434"/>
      <c r="G434"/>
      <c r="H434"/>
      <c r="I434"/>
      <c r="J434"/>
      <c r="K434"/>
      <c r="L434" s="14"/>
      <c r="M434"/>
      <c r="N434"/>
      <c r="O434"/>
      <c r="P434"/>
    </row>
    <row r="435" spans="1:16" x14ac:dyDescent="0.25">
      <c r="A435"/>
      <c r="B435"/>
      <c r="C435"/>
      <c r="D435"/>
      <c r="E435"/>
      <c r="F435"/>
      <c r="G435"/>
      <c r="H435"/>
      <c r="I435"/>
      <c r="J435"/>
      <c r="K435"/>
      <c r="L435" s="14"/>
      <c r="M435"/>
      <c r="N435"/>
      <c r="O435"/>
      <c r="P435"/>
    </row>
    <row r="436" spans="1:16" x14ac:dyDescent="0.25">
      <c r="A436"/>
      <c r="B436"/>
      <c r="C436"/>
      <c r="D436"/>
      <c r="E436"/>
      <c r="F436"/>
      <c r="G436"/>
      <c r="H436"/>
      <c r="I436"/>
      <c r="J436"/>
      <c r="K436"/>
      <c r="L436" s="14"/>
      <c r="M436"/>
      <c r="N436"/>
      <c r="O436"/>
      <c r="P436"/>
    </row>
    <row r="437" spans="1:16" x14ac:dyDescent="0.25">
      <c r="A437"/>
      <c r="B437"/>
      <c r="C437"/>
      <c r="D437"/>
      <c r="E437"/>
      <c r="F437"/>
      <c r="G437"/>
      <c r="H437"/>
      <c r="I437"/>
      <c r="J437"/>
      <c r="K437"/>
      <c r="L437" s="14"/>
      <c r="M437"/>
      <c r="N437"/>
      <c r="O437"/>
      <c r="P437"/>
    </row>
    <row r="438" spans="1:16" x14ac:dyDescent="0.25">
      <c r="A438"/>
      <c r="B438"/>
      <c r="C438"/>
      <c r="D438"/>
      <c r="E438"/>
      <c r="F438"/>
      <c r="G438"/>
      <c r="H438"/>
      <c r="I438"/>
      <c r="J438"/>
      <c r="K438"/>
      <c r="L438" s="14"/>
      <c r="M438"/>
      <c r="N438"/>
      <c r="O438"/>
      <c r="P438"/>
    </row>
    <row r="439" spans="1:16" x14ac:dyDescent="0.25">
      <c r="A439"/>
      <c r="B439"/>
      <c r="C439"/>
      <c r="D439"/>
      <c r="E439"/>
      <c r="F439"/>
      <c r="G439"/>
      <c r="H439"/>
      <c r="I439"/>
      <c r="J439"/>
      <c r="K439"/>
      <c r="L439" s="14"/>
      <c r="M439"/>
      <c r="N439"/>
      <c r="O439"/>
      <c r="P439"/>
    </row>
    <row r="440" spans="1:16" x14ac:dyDescent="0.25">
      <c r="A440"/>
      <c r="B440"/>
      <c r="C440"/>
      <c r="D440"/>
      <c r="E440"/>
      <c r="F440"/>
      <c r="G440"/>
      <c r="H440"/>
      <c r="I440"/>
      <c r="J440"/>
      <c r="K440"/>
      <c r="L440" s="14"/>
      <c r="M440"/>
      <c r="N440"/>
      <c r="O440"/>
      <c r="P440"/>
    </row>
    <row r="441" spans="1:16" x14ac:dyDescent="0.25">
      <c r="A441"/>
      <c r="B441"/>
      <c r="C441"/>
      <c r="D441"/>
      <c r="E441"/>
      <c r="F441"/>
      <c r="G441"/>
      <c r="H441"/>
      <c r="I441"/>
      <c r="J441"/>
      <c r="K441"/>
      <c r="L441" s="14"/>
      <c r="M441"/>
      <c r="N441"/>
      <c r="O441"/>
      <c r="P441"/>
    </row>
    <row r="442" spans="1:16" x14ac:dyDescent="0.25">
      <c r="A442"/>
      <c r="B442"/>
      <c r="C442"/>
      <c r="D442"/>
      <c r="E442"/>
      <c r="F442"/>
      <c r="G442"/>
      <c r="H442"/>
      <c r="I442"/>
      <c r="J442"/>
      <c r="K442"/>
      <c r="L442" s="14"/>
      <c r="M442"/>
      <c r="N442"/>
      <c r="O442"/>
      <c r="P442"/>
    </row>
    <row r="443" spans="1:16" x14ac:dyDescent="0.25">
      <c r="A443"/>
      <c r="B443"/>
      <c r="C443"/>
      <c r="D443"/>
      <c r="E443"/>
      <c r="F443"/>
      <c r="G443"/>
      <c r="H443"/>
      <c r="I443"/>
      <c r="J443"/>
      <c r="K443"/>
      <c r="L443" s="14"/>
      <c r="M443"/>
      <c r="N443"/>
      <c r="O443"/>
      <c r="P443"/>
    </row>
    <row r="444" spans="1:16" x14ac:dyDescent="0.25">
      <c r="A444"/>
      <c r="B444"/>
      <c r="C444"/>
      <c r="D444"/>
      <c r="E444"/>
      <c r="F444"/>
      <c r="G444"/>
      <c r="H444"/>
      <c r="I444"/>
      <c r="J444"/>
      <c r="K444"/>
      <c r="L444" s="14"/>
      <c r="M444"/>
      <c r="N444"/>
      <c r="O444"/>
      <c r="P444"/>
    </row>
    <row r="445" spans="1:16" x14ac:dyDescent="0.25">
      <c r="A445"/>
      <c r="B445"/>
      <c r="C445"/>
      <c r="D445"/>
      <c r="E445"/>
      <c r="F445"/>
      <c r="G445"/>
      <c r="H445"/>
      <c r="I445"/>
      <c r="J445"/>
      <c r="K445"/>
      <c r="L445" s="14"/>
      <c r="M445"/>
      <c r="N445"/>
      <c r="O445"/>
      <c r="P445"/>
    </row>
    <row r="446" spans="1:16" x14ac:dyDescent="0.25">
      <c r="A446"/>
      <c r="B446"/>
      <c r="C446"/>
      <c r="D446"/>
      <c r="E446"/>
      <c r="F446"/>
      <c r="G446"/>
      <c r="H446"/>
      <c r="I446"/>
      <c r="J446"/>
      <c r="K446"/>
      <c r="L446" s="14"/>
      <c r="M446"/>
      <c r="N446"/>
      <c r="O446"/>
      <c r="P446"/>
    </row>
    <row r="447" spans="1:16" x14ac:dyDescent="0.25">
      <c r="A447"/>
      <c r="B447"/>
      <c r="C447"/>
      <c r="D447"/>
      <c r="E447"/>
      <c r="F447"/>
      <c r="G447"/>
      <c r="H447"/>
      <c r="I447"/>
      <c r="J447"/>
      <c r="K447"/>
      <c r="L447" s="14"/>
      <c r="M447"/>
      <c r="N447"/>
      <c r="O447"/>
      <c r="P447"/>
    </row>
    <row r="448" spans="1:16" x14ac:dyDescent="0.25">
      <c r="A448"/>
      <c r="B448"/>
      <c r="C448"/>
      <c r="D448"/>
      <c r="E448"/>
      <c r="F448"/>
      <c r="G448"/>
      <c r="H448"/>
      <c r="I448"/>
      <c r="J448"/>
      <c r="K448"/>
      <c r="L448" s="14"/>
      <c r="M448"/>
      <c r="N448"/>
      <c r="O448"/>
      <c r="P448"/>
    </row>
    <row r="449" spans="1:16" x14ac:dyDescent="0.25">
      <c r="A449"/>
      <c r="B449"/>
      <c r="C449"/>
      <c r="D449"/>
      <c r="E449"/>
      <c r="F449"/>
      <c r="G449"/>
      <c r="H449"/>
      <c r="I449"/>
      <c r="J449"/>
      <c r="K449"/>
      <c r="L449" s="14"/>
      <c r="M449"/>
      <c r="N449"/>
      <c r="O449"/>
      <c r="P449"/>
    </row>
    <row r="450" spans="1:16" x14ac:dyDescent="0.25">
      <c r="A450"/>
      <c r="B450"/>
      <c r="C450"/>
      <c r="D450"/>
      <c r="E450"/>
      <c r="F450"/>
      <c r="G450"/>
      <c r="H450"/>
      <c r="I450"/>
      <c r="J450"/>
      <c r="K450"/>
      <c r="L450" s="14"/>
      <c r="M450"/>
      <c r="N450"/>
      <c r="O450"/>
      <c r="P450"/>
    </row>
    <row r="451" spans="1:16" x14ac:dyDescent="0.25">
      <c r="A451"/>
      <c r="B451"/>
      <c r="C451"/>
      <c r="D451"/>
      <c r="E451"/>
      <c r="F451"/>
      <c r="G451"/>
      <c r="H451"/>
      <c r="I451"/>
      <c r="J451"/>
      <c r="K451"/>
      <c r="L451" s="14"/>
      <c r="M451"/>
      <c r="N451"/>
      <c r="O451"/>
      <c r="P451"/>
    </row>
    <row r="452" spans="1:16" x14ac:dyDescent="0.25">
      <c r="A452"/>
      <c r="B452"/>
      <c r="C452"/>
      <c r="D452"/>
      <c r="E452"/>
      <c r="F452"/>
      <c r="G452"/>
      <c r="H452"/>
      <c r="I452"/>
      <c r="J452"/>
      <c r="K452"/>
      <c r="L452" s="14"/>
      <c r="M452"/>
      <c r="N452"/>
      <c r="O452"/>
      <c r="P452"/>
    </row>
    <row r="453" spans="1:16" x14ac:dyDescent="0.25">
      <c r="A453"/>
      <c r="B453"/>
      <c r="C453"/>
      <c r="D453"/>
      <c r="E453"/>
      <c r="F453"/>
      <c r="G453"/>
      <c r="H453"/>
      <c r="I453"/>
      <c r="J453"/>
      <c r="K453"/>
      <c r="L453" s="14"/>
      <c r="M453"/>
      <c r="N453"/>
      <c r="O453"/>
      <c r="P453"/>
    </row>
    <row r="454" spans="1:16" x14ac:dyDescent="0.25">
      <c r="A454"/>
      <c r="B454"/>
      <c r="C454"/>
      <c r="D454"/>
      <c r="E454"/>
      <c r="F454"/>
      <c r="G454"/>
      <c r="H454"/>
      <c r="I454"/>
      <c r="J454"/>
      <c r="K454"/>
      <c r="L454" s="14"/>
      <c r="M454"/>
      <c r="N454"/>
      <c r="O454"/>
      <c r="P454"/>
    </row>
    <row r="455" spans="1:16" x14ac:dyDescent="0.25">
      <c r="A455"/>
      <c r="B455"/>
      <c r="C455"/>
      <c r="D455"/>
      <c r="E455"/>
      <c r="F455"/>
      <c r="G455"/>
      <c r="H455"/>
      <c r="I455"/>
      <c r="J455"/>
      <c r="K455"/>
      <c r="L455" s="14"/>
      <c r="M455"/>
      <c r="N455"/>
      <c r="O455"/>
      <c r="P455"/>
    </row>
    <row r="456" spans="1:16" x14ac:dyDescent="0.25">
      <c r="A456"/>
      <c r="B456"/>
      <c r="C456"/>
      <c r="D456"/>
      <c r="E456"/>
      <c r="F456"/>
      <c r="G456"/>
      <c r="H456"/>
      <c r="I456"/>
      <c r="J456"/>
      <c r="K456"/>
      <c r="L456" s="14"/>
      <c r="M456"/>
      <c r="N456"/>
      <c r="O456"/>
      <c r="P456"/>
    </row>
    <row r="457" spans="1:16" x14ac:dyDescent="0.25">
      <c r="A457"/>
      <c r="B457"/>
      <c r="C457"/>
      <c r="D457"/>
      <c r="E457"/>
      <c r="F457"/>
      <c r="G457"/>
      <c r="H457"/>
      <c r="I457"/>
      <c r="J457"/>
      <c r="K457"/>
      <c r="L457" s="14"/>
      <c r="M457"/>
      <c r="N457"/>
      <c r="O457"/>
      <c r="P457"/>
    </row>
    <row r="458" spans="1:16" x14ac:dyDescent="0.25">
      <c r="A458"/>
      <c r="B458"/>
      <c r="C458"/>
      <c r="D458"/>
      <c r="E458"/>
      <c r="F458"/>
      <c r="G458"/>
      <c r="H458"/>
      <c r="I458"/>
      <c r="J458"/>
      <c r="K458"/>
      <c r="L458" s="14"/>
      <c r="M458"/>
      <c r="N458"/>
      <c r="O458"/>
      <c r="P458"/>
    </row>
    <row r="459" spans="1:16" x14ac:dyDescent="0.25">
      <c r="A459"/>
      <c r="B459"/>
      <c r="C459"/>
      <c r="D459"/>
      <c r="E459"/>
      <c r="F459"/>
      <c r="G459"/>
      <c r="H459"/>
      <c r="I459"/>
      <c r="J459"/>
      <c r="K459"/>
      <c r="L459" s="14"/>
      <c r="M459"/>
      <c r="N459"/>
      <c r="O459"/>
      <c r="P459"/>
    </row>
    <row r="460" spans="1:16" x14ac:dyDescent="0.25">
      <c r="A460"/>
      <c r="B460"/>
      <c r="C460"/>
      <c r="D460"/>
      <c r="E460"/>
      <c r="F460"/>
      <c r="G460"/>
      <c r="H460"/>
      <c r="I460"/>
      <c r="J460"/>
      <c r="K460"/>
      <c r="L460" s="14"/>
      <c r="M460"/>
      <c r="N460"/>
      <c r="O460"/>
      <c r="P460"/>
    </row>
    <row r="461" spans="1:16" x14ac:dyDescent="0.25">
      <c r="A461"/>
      <c r="B461"/>
      <c r="C461"/>
      <c r="D461"/>
      <c r="E461"/>
      <c r="F461"/>
      <c r="G461"/>
      <c r="H461"/>
      <c r="I461"/>
      <c r="J461"/>
      <c r="K461"/>
      <c r="L461" s="14"/>
      <c r="M461"/>
      <c r="N461"/>
      <c r="O461"/>
      <c r="P461"/>
    </row>
    <row r="462" spans="1:16" x14ac:dyDescent="0.25">
      <c r="A462"/>
      <c r="B462"/>
      <c r="C462"/>
      <c r="D462"/>
      <c r="E462"/>
      <c r="F462"/>
      <c r="G462"/>
      <c r="H462"/>
      <c r="I462"/>
      <c r="J462"/>
      <c r="K462"/>
      <c r="L462" s="14"/>
      <c r="M462"/>
      <c r="N462"/>
      <c r="O462"/>
      <c r="P462"/>
    </row>
    <row r="463" spans="1:16" x14ac:dyDescent="0.25">
      <c r="A463"/>
      <c r="B463"/>
      <c r="C463"/>
      <c r="D463"/>
      <c r="E463"/>
      <c r="F463"/>
      <c r="G463"/>
      <c r="H463"/>
      <c r="I463"/>
      <c r="J463"/>
      <c r="K463"/>
      <c r="L463" s="14"/>
      <c r="M463"/>
      <c r="N463"/>
      <c r="O463"/>
      <c r="P463"/>
    </row>
    <row r="464" spans="1:16" x14ac:dyDescent="0.25">
      <c r="A464"/>
      <c r="B464"/>
      <c r="C464"/>
      <c r="D464"/>
      <c r="E464"/>
      <c r="F464"/>
      <c r="G464"/>
      <c r="H464"/>
      <c r="I464"/>
      <c r="J464"/>
      <c r="K464"/>
      <c r="L464" s="14"/>
      <c r="M464"/>
      <c r="N464"/>
      <c r="O464"/>
      <c r="P464"/>
    </row>
    <row r="465" spans="1:16" x14ac:dyDescent="0.25">
      <c r="A465"/>
      <c r="B465"/>
      <c r="C465"/>
      <c r="D465"/>
      <c r="E465"/>
      <c r="F465"/>
      <c r="G465"/>
      <c r="H465"/>
      <c r="I465"/>
      <c r="J465"/>
      <c r="K465"/>
      <c r="L465" s="14"/>
      <c r="M465"/>
      <c r="N465"/>
      <c r="O465"/>
      <c r="P465"/>
    </row>
    <row r="466" spans="1:16" x14ac:dyDescent="0.25">
      <c r="A466"/>
      <c r="B466"/>
      <c r="C466"/>
      <c r="D466"/>
      <c r="E466"/>
      <c r="F466"/>
      <c r="G466"/>
      <c r="H466"/>
      <c r="I466"/>
      <c r="J466"/>
      <c r="K466"/>
      <c r="L466" s="14"/>
      <c r="M466"/>
      <c r="N466"/>
      <c r="O466"/>
      <c r="P466"/>
    </row>
    <row r="467" spans="1:16" x14ac:dyDescent="0.25">
      <c r="A467"/>
      <c r="B467"/>
      <c r="C467"/>
      <c r="D467"/>
      <c r="E467"/>
      <c r="F467"/>
      <c r="G467"/>
      <c r="H467"/>
      <c r="I467"/>
      <c r="J467"/>
      <c r="K467"/>
      <c r="L467" s="14"/>
      <c r="M467"/>
      <c r="N467"/>
      <c r="O467"/>
      <c r="P467"/>
    </row>
    <row r="468" spans="1:16" x14ac:dyDescent="0.25">
      <c r="A468"/>
      <c r="B468"/>
      <c r="C468"/>
      <c r="D468"/>
      <c r="E468"/>
      <c r="F468"/>
      <c r="G468"/>
      <c r="H468"/>
      <c r="I468"/>
      <c r="J468"/>
      <c r="K468"/>
      <c r="L468" s="14"/>
      <c r="M468"/>
      <c r="N468"/>
      <c r="O468"/>
      <c r="P468"/>
    </row>
    <row r="469" spans="1:16" x14ac:dyDescent="0.25">
      <c r="A469"/>
      <c r="B469"/>
      <c r="C469"/>
      <c r="D469"/>
      <c r="E469"/>
      <c r="F469"/>
      <c r="G469"/>
      <c r="H469"/>
      <c r="I469"/>
      <c r="J469"/>
      <c r="K469"/>
      <c r="L469" s="14"/>
      <c r="M469"/>
      <c r="N469"/>
      <c r="O469"/>
      <c r="P469"/>
    </row>
    <row r="470" spans="1:16" x14ac:dyDescent="0.25">
      <c r="A470"/>
      <c r="B470"/>
      <c r="C470"/>
      <c r="D470"/>
      <c r="E470"/>
      <c r="F470"/>
      <c r="G470"/>
      <c r="H470"/>
      <c r="I470"/>
      <c r="J470"/>
      <c r="K470"/>
      <c r="L470" s="14"/>
      <c r="M470"/>
      <c r="N470"/>
      <c r="O470"/>
      <c r="P470"/>
    </row>
    <row r="471" spans="1:16" x14ac:dyDescent="0.25">
      <c r="A471"/>
      <c r="B471"/>
      <c r="C471"/>
      <c r="D471"/>
      <c r="E471"/>
      <c r="F471"/>
      <c r="G471"/>
      <c r="H471"/>
      <c r="I471"/>
      <c r="J471"/>
      <c r="K471"/>
      <c r="L471" s="14"/>
      <c r="M471"/>
      <c r="N471"/>
      <c r="O471"/>
      <c r="P471"/>
    </row>
    <row r="472" spans="1:16" x14ac:dyDescent="0.25">
      <c r="A472"/>
      <c r="B472"/>
      <c r="C472"/>
      <c r="D472"/>
      <c r="E472"/>
      <c r="F472"/>
      <c r="G472"/>
      <c r="H472"/>
      <c r="I472"/>
      <c r="J472"/>
      <c r="K472"/>
      <c r="L472" s="14"/>
      <c r="M472"/>
      <c r="N472"/>
      <c r="O472"/>
      <c r="P472"/>
    </row>
    <row r="473" spans="1:16" x14ac:dyDescent="0.25">
      <c r="A473"/>
      <c r="B473"/>
      <c r="C473"/>
      <c r="D473"/>
      <c r="E473"/>
      <c r="F473"/>
      <c r="G473"/>
      <c r="H473"/>
      <c r="I473"/>
      <c r="J473"/>
      <c r="K473"/>
      <c r="L473" s="14"/>
      <c r="M473"/>
      <c r="N473"/>
      <c r="O473"/>
      <c r="P473"/>
    </row>
    <row r="474" spans="1:16" x14ac:dyDescent="0.25">
      <c r="A474"/>
      <c r="B474"/>
      <c r="C474"/>
      <c r="D474"/>
      <c r="E474"/>
      <c r="F474"/>
      <c r="G474"/>
      <c r="H474"/>
      <c r="I474"/>
      <c r="J474"/>
      <c r="K474"/>
      <c r="L474" s="14"/>
      <c r="M474"/>
      <c r="N474"/>
      <c r="O474"/>
      <c r="P474"/>
    </row>
    <row r="475" spans="1:16" x14ac:dyDescent="0.25">
      <c r="A475"/>
      <c r="B475"/>
      <c r="C475"/>
      <c r="D475"/>
      <c r="E475"/>
      <c r="F475"/>
      <c r="G475"/>
      <c r="H475"/>
      <c r="I475"/>
      <c r="J475"/>
      <c r="K475"/>
      <c r="L475" s="14"/>
      <c r="M475"/>
      <c r="N475"/>
      <c r="O475"/>
      <c r="P475"/>
    </row>
    <row r="476" spans="1:16" x14ac:dyDescent="0.25">
      <c r="A476"/>
      <c r="B476"/>
      <c r="C476"/>
      <c r="D476"/>
      <c r="E476"/>
      <c r="F476"/>
      <c r="G476"/>
      <c r="H476"/>
      <c r="I476"/>
      <c r="J476"/>
      <c r="K476"/>
      <c r="L476" s="14"/>
      <c r="M476"/>
      <c r="N476"/>
      <c r="O476"/>
      <c r="P476"/>
    </row>
    <row r="477" spans="1:16" x14ac:dyDescent="0.25">
      <c r="A477"/>
      <c r="B477"/>
      <c r="C477"/>
      <c r="D477"/>
      <c r="E477"/>
      <c r="F477"/>
      <c r="G477"/>
      <c r="H477"/>
      <c r="I477"/>
      <c r="J477"/>
      <c r="K477"/>
      <c r="L477" s="14"/>
      <c r="M477"/>
      <c r="N477"/>
      <c r="O477"/>
      <c r="P477"/>
    </row>
    <row r="478" spans="1:16" x14ac:dyDescent="0.25">
      <c r="A478"/>
      <c r="B478"/>
      <c r="C478"/>
      <c r="D478"/>
      <c r="E478"/>
      <c r="F478"/>
      <c r="G478"/>
      <c r="H478"/>
      <c r="I478"/>
      <c r="J478"/>
      <c r="K478"/>
      <c r="L478" s="14"/>
      <c r="M478"/>
      <c r="N478"/>
      <c r="O478"/>
      <c r="P478"/>
    </row>
    <row r="479" spans="1:16" x14ac:dyDescent="0.25">
      <c r="A479"/>
      <c r="B479"/>
      <c r="C479"/>
      <c r="D479"/>
      <c r="E479"/>
      <c r="F479"/>
      <c r="G479"/>
      <c r="H479"/>
      <c r="I479"/>
      <c r="J479"/>
      <c r="K479"/>
      <c r="L479" s="14"/>
      <c r="M479"/>
      <c r="N479"/>
      <c r="O479"/>
      <c r="P479"/>
    </row>
    <row r="480" spans="1:16" x14ac:dyDescent="0.25">
      <c r="A480"/>
      <c r="B480"/>
      <c r="C480"/>
      <c r="D480"/>
      <c r="E480"/>
      <c r="F480"/>
      <c r="G480"/>
      <c r="H480"/>
      <c r="I480"/>
      <c r="J480"/>
      <c r="K480"/>
      <c r="L480" s="14"/>
      <c r="M480"/>
      <c r="N480"/>
      <c r="O480"/>
      <c r="P480"/>
    </row>
    <row r="481" spans="1:16" x14ac:dyDescent="0.25">
      <c r="A481"/>
      <c r="B481"/>
      <c r="C481"/>
      <c r="D481"/>
      <c r="E481"/>
      <c r="F481"/>
      <c r="G481"/>
      <c r="H481"/>
      <c r="I481"/>
      <c r="J481"/>
      <c r="K481"/>
      <c r="L481" s="14"/>
      <c r="M481"/>
      <c r="N481"/>
      <c r="O481"/>
      <c r="P481"/>
    </row>
    <row r="482" spans="1:16" x14ac:dyDescent="0.25">
      <c r="A482"/>
      <c r="B482"/>
      <c r="C482"/>
      <c r="D482"/>
      <c r="E482"/>
      <c r="F482"/>
      <c r="G482"/>
      <c r="H482"/>
      <c r="I482"/>
      <c r="J482"/>
      <c r="K482"/>
      <c r="L482" s="14"/>
      <c r="M482"/>
      <c r="N482"/>
      <c r="O482"/>
      <c r="P482"/>
    </row>
    <row r="483" spans="1:16" x14ac:dyDescent="0.25">
      <c r="A483"/>
      <c r="B483"/>
      <c r="C483"/>
      <c r="D483"/>
      <c r="E483"/>
      <c r="F483"/>
      <c r="G483"/>
      <c r="H483"/>
      <c r="I483"/>
      <c r="J483"/>
      <c r="K483"/>
      <c r="L483" s="14"/>
      <c r="M483"/>
      <c r="N483"/>
      <c r="O483"/>
      <c r="P483"/>
    </row>
    <row r="484" spans="1:16" x14ac:dyDescent="0.25">
      <c r="A484"/>
      <c r="B484"/>
      <c r="C484"/>
      <c r="D484"/>
      <c r="E484"/>
      <c r="F484"/>
      <c r="G484"/>
      <c r="H484"/>
      <c r="I484"/>
      <c r="J484"/>
      <c r="K484"/>
      <c r="L484" s="14"/>
      <c r="M484"/>
      <c r="N484"/>
      <c r="O484"/>
      <c r="P484"/>
    </row>
    <row r="485" spans="1:16" x14ac:dyDescent="0.25">
      <c r="A485"/>
      <c r="B485"/>
      <c r="C485"/>
      <c r="D485"/>
      <c r="E485"/>
      <c r="F485"/>
      <c r="G485"/>
      <c r="H485"/>
      <c r="I485"/>
      <c r="J485"/>
      <c r="K485"/>
      <c r="L485" s="14"/>
      <c r="M485"/>
      <c r="N485"/>
      <c r="O485"/>
      <c r="P485"/>
    </row>
    <row r="486" spans="1:16" x14ac:dyDescent="0.25">
      <c r="A486"/>
      <c r="B486"/>
      <c r="C486"/>
      <c r="D486"/>
      <c r="E486"/>
      <c r="F486"/>
      <c r="G486"/>
      <c r="H486"/>
      <c r="I486"/>
      <c r="J486"/>
      <c r="K486"/>
      <c r="L486" s="14"/>
      <c r="M486"/>
      <c r="N486"/>
      <c r="O486"/>
      <c r="P486"/>
    </row>
    <row r="487" spans="1:16" x14ac:dyDescent="0.25">
      <c r="A487"/>
      <c r="B487"/>
      <c r="C487"/>
      <c r="D487"/>
      <c r="E487"/>
      <c r="F487"/>
      <c r="G487"/>
      <c r="H487"/>
      <c r="I487"/>
      <c r="J487"/>
      <c r="K487"/>
      <c r="L487" s="14"/>
      <c r="M487"/>
      <c r="N487"/>
      <c r="O487"/>
      <c r="P487"/>
    </row>
    <row r="488" spans="1:16" x14ac:dyDescent="0.25">
      <c r="A488"/>
      <c r="B488"/>
      <c r="C488"/>
      <c r="D488"/>
      <c r="E488"/>
      <c r="F488"/>
      <c r="G488"/>
      <c r="H488"/>
      <c r="I488"/>
      <c r="J488"/>
      <c r="K488"/>
      <c r="L488" s="14"/>
      <c r="M488"/>
      <c r="N488"/>
      <c r="O488"/>
      <c r="P488"/>
    </row>
    <row r="489" spans="1:16" x14ac:dyDescent="0.25">
      <c r="A489"/>
      <c r="B489"/>
      <c r="C489"/>
      <c r="D489"/>
      <c r="E489"/>
      <c r="F489"/>
      <c r="G489"/>
      <c r="H489"/>
      <c r="I489"/>
      <c r="J489"/>
      <c r="K489"/>
      <c r="L489" s="14"/>
      <c r="M489"/>
      <c r="N489"/>
      <c r="O489"/>
      <c r="P489"/>
    </row>
    <row r="490" spans="1:16" x14ac:dyDescent="0.25">
      <c r="A490"/>
      <c r="B490"/>
      <c r="C490"/>
      <c r="D490"/>
      <c r="E490"/>
      <c r="F490"/>
      <c r="G490"/>
      <c r="H490"/>
      <c r="I490"/>
      <c r="J490"/>
      <c r="K490"/>
      <c r="L490" s="14"/>
      <c r="M490"/>
      <c r="N490"/>
      <c r="O490"/>
      <c r="P490"/>
    </row>
    <row r="491" spans="1:16" x14ac:dyDescent="0.25">
      <c r="A491"/>
      <c r="B491"/>
      <c r="C491"/>
      <c r="D491"/>
      <c r="E491"/>
      <c r="F491"/>
      <c r="G491"/>
      <c r="H491"/>
      <c r="I491"/>
      <c r="J491"/>
      <c r="K491"/>
      <c r="L491" s="14"/>
      <c r="M491"/>
      <c r="N491"/>
      <c r="O491"/>
      <c r="P491"/>
    </row>
    <row r="492" spans="1:16" x14ac:dyDescent="0.25">
      <c r="A492"/>
      <c r="B492"/>
      <c r="C492"/>
      <c r="D492"/>
      <c r="E492"/>
      <c r="F492"/>
      <c r="G492"/>
      <c r="H492"/>
      <c r="I492"/>
      <c r="J492"/>
      <c r="K492"/>
      <c r="L492" s="14"/>
      <c r="M492"/>
      <c r="N492"/>
      <c r="O492"/>
      <c r="P492"/>
    </row>
    <row r="493" spans="1:16" x14ac:dyDescent="0.25">
      <c r="A493"/>
      <c r="B493"/>
      <c r="C493"/>
      <c r="D493"/>
      <c r="E493"/>
      <c r="F493"/>
      <c r="G493"/>
      <c r="H493"/>
      <c r="I493"/>
      <c r="J493"/>
      <c r="K493"/>
      <c r="L493" s="14"/>
      <c r="M493"/>
      <c r="N493"/>
      <c r="O493"/>
      <c r="P493"/>
    </row>
    <row r="494" spans="1:16" x14ac:dyDescent="0.25">
      <c r="A494"/>
      <c r="B494"/>
      <c r="C494"/>
      <c r="D494"/>
      <c r="E494"/>
      <c r="F494"/>
      <c r="G494"/>
      <c r="H494"/>
      <c r="I494"/>
      <c r="J494"/>
      <c r="K494"/>
      <c r="L494" s="14"/>
      <c r="M494"/>
      <c r="N494"/>
      <c r="O494"/>
      <c r="P494"/>
    </row>
    <row r="495" spans="1:16" x14ac:dyDescent="0.25">
      <c r="A495"/>
      <c r="B495"/>
      <c r="C495"/>
      <c r="D495"/>
      <c r="E495"/>
      <c r="F495"/>
      <c r="G495"/>
      <c r="H495"/>
      <c r="I495"/>
      <c r="J495"/>
      <c r="K495"/>
      <c r="L495" s="14"/>
      <c r="M495"/>
      <c r="N495"/>
      <c r="O495"/>
      <c r="P495"/>
    </row>
    <row r="496" spans="1:16" x14ac:dyDescent="0.25">
      <c r="A496"/>
      <c r="B496"/>
      <c r="C496"/>
      <c r="D496"/>
      <c r="E496"/>
      <c r="F496"/>
      <c r="G496"/>
      <c r="H496"/>
      <c r="I496"/>
      <c r="J496"/>
      <c r="K496"/>
      <c r="L496" s="14"/>
      <c r="M496"/>
      <c r="N496"/>
      <c r="O496"/>
      <c r="P496"/>
    </row>
    <row r="497" spans="1:16" x14ac:dyDescent="0.25">
      <c r="A497"/>
      <c r="B497"/>
      <c r="C497"/>
      <c r="D497"/>
      <c r="E497"/>
      <c r="F497"/>
      <c r="G497"/>
      <c r="H497"/>
      <c r="I497"/>
      <c r="J497"/>
      <c r="K497"/>
      <c r="L497" s="14"/>
      <c r="M497"/>
      <c r="N497"/>
      <c r="O497"/>
      <c r="P497"/>
    </row>
    <row r="498" spans="1:16" x14ac:dyDescent="0.25">
      <c r="A498"/>
      <c r="B498"/>
      <c r="C498"/>
      <c r="D498"/>
      <c r="E498"/>
      <c r="F498"/>
      <c r="G498"/>
      <c r="H498"/>
      <c r="I498"/>
      <c r="J498"/>
      <c r="K498"/>
      <c r="L498" s="14"/>
      <c r="M498"/>
      <c r="N498"/>
      <c r="O498"/>
      <c r="P498"/>
    </row>
    <row r="499" spans="1:16" x14ac:dyDescent="0.25">
      <c r="A499"/>
      <c r="B499"/>
      <c r="C499"/>
      <c r="D499"/>
      <c r="E499"/>
      <c r="F499"/>
      <c r="G499"/>
      <c r="H499"/>
      <c r="I499"/>
      <c r="J499"/>
      <c r="K499"/>
      <c r="L499" s="14"/>
      <c r="M499"/>
      <c r="N499"/>
      <c r="O499"/>
      <c r="P499"/>
    </row>
    <row r="500" spans="1:16" x14ac:dyDescent="0.25">
      <c r="A500"/>
      <c r="B500"/>
      <c r="C500"/>
      <c r="D500"/>
      <c r="E500"/>
      <c r="F500"/>
      <c r="G500"/>
      <c r="H500"/>
      <c r="I500"/>
      <c r="J500"/>
      <c r="K500"/>
      <c r="L500" s="14"/>
      <c r="M500"/>
      <c r="N500"/>
      <c r="O500"/>
      <c r="P500"/>
    </row>
    <row r="501" spans="1:16" x14ac:dyDescent="0.25">
      <c r="A501"/>
      <c r="B501"/>
      <c r="C501"/>
      <c r="D501"/>
      <c r="E501"/>
      <c r="F501"/>
      <c r="G501"/>
      <c r="H501"/>
      <c r="I501"/>
      <c r="J501"/>
      <c r="K501"/>
      <c r="L501" s="14"/>
      <c r="M501"/>
      <c r="N501"/>
      <c r="O501"/>
      <c r="P501"/>
    </row>
    <row r="502" spans="1:16" x14ac:dyDescent="0.25">
      <c r="A502"/>
      <c r="B502"/>
      <c r="C502"/>
      <c r="D502"/>
      <c r="E502"/>
      <c r="F502"/>
      <c r="G502"/>
      <c r="H502"/>
      <c r="I502"/>
      <c r="J502"/>
      <c r="K502"/>
      <c r="L502" s="14"/>
      <c r="M502"/>
      <c r="N502"/>
      <c r="O502"/>
      <c r="P502"/>
    </row>
    <row r="503" spans="1:16" x14ac:dyDescent="0.25">
      <c r="A503"/>
      <c r="B503"/>
      <c r="C503"/>
      <c r="D503"/>
      <c r="E503"/>
      <c r="F503"/>
      <c r="G503"/>
      <c r="H503"/>
      <c r="I503"/>
      <c r="J503"/>
      <c r="K503"/>
      <c r="L503" s="14"/>
      <c r="M503"/>
      <c r="N503"/>
      <c r="O503"/>
      <c r="P503"/>
    </row>
    <row r="504" spans="1:16" x14ac:dyDescent="0.25">
      <c r="A504"/>
      <c r="B504"/>
      <c r="C504"/>
      <c r="D504"/>
      <c r="E504"/>
      <c r="F504"/>
      <c r="G504"/>
      <c r="H504"/>
      <c r="I504"/>
      <c r="J504"/>
      <c r="K504"/>
      <c r="L504" s="14"/>
      <c r="M504"/>
      <c r="N504"/>
      <c r="O504"/>
      <c r="P504"/>
    </row>
    <row r="505" spans="1:16" x14ac:dyDescent="0.25">
      <c r="A505"/>
      <c r="B505"/>
      <c r="C505"/>
      <c r="D505"/>
      <c r="E505"/>
      <c r="F505"/>
      <c r="G505"/>
      <c r="H505"/>
      <c r="I505"/>
      <c r="J505"/>
      <c r="K505"/>
      <c r="L505" s="14"/>
      <c r="M505"/>
      <c r="N505"/>
      <c r="O505"/>
      <c r="P505"/>
    </row>
    <row r="506" spans="1:16" x14ac:dyDescent="0.25">
      <c r="A506"/>
      <c r="B506"/>
      <c r="C506"/>
      <c r="D506"/>
      <c r="E506"/>
      <c r="F506"/>
      <c r="G506"/>
      <c r="H506"/>
      <c r="I506"/>
      <c r="J506"/>
      <c r="K506"/>
      <c r="L506" s="14"/>
      <c r="M506"/>
      <c r="N506"/>
      <c r="O506"/>
      <c r="P506"/>
    </row>
    <row r="507" spans="1:16" x14ac:dyDescent="0.25">
      <c r="A507"/>
      <c r="B507"/>
      <c r="C507"/>
      <c r="D507"/>
      <c r="E507"/>
      <c r="F507"/>
      <c r="G507"/>
      <c r="H507"/>
      <c r="I507"/>
      <c r="J507"/>
      <c r="K507"/>
      <c r="L507" s="14"/>
      <c r="M507"/>
      <c r="N507"/>
      <c r="O507"/>
      <c r="P507"/>
    </row>
    <row r="508" spans="1:16" x14ac:dyDescent="0.25">
      <c r="A508"/>
      <c r="B508"/>
      <c r="C508"/>
      <c r="D508"/>
      <c r="E508"/>
      <c r="F508"/>
      <c r="G508"/>
      <c r="H508"/>
      <c r="I508"/>
      <c r="J508"/>
      <c r="K508"/>
      <c r="L508" s="14"/>
      <c r="M508"/>
      <c r="N508"/>
      <c r="O508"/>
      <c r="P508"/>
    </row>
    <row r="509" spans="1:16" x14ac:dyDescent="0.25">
      <c r="A509"/>
      <c r="B509"/>
      <c r="C509"/>
      <c r="D509"/>
      <c r="E509"/>
      <c r="F509"/>
      <c r="G509"/>
      <c r="H509"/>
      <c r="I509"/>
      <c r="J509"/>
      <c r="K509"/>
      <c r="L509" s="14"/>
      <c r="M509"/>
      <c r="N509"/>
      <c r="O509"/>
      <c r="P509"/>
    </row>
    <row r="510" spans="1:16" x14ac:dyDescent="0.25">
      <c r="A510"/>
      <c r="B510"/>
      <c r="C510"/>
      <c r="D510"/>
      <c r="E510"/>
      <c r="F510"/>
      <c r="G510"/>
      <c r="H510"/>
      <c r="I510"/>
      <c r="J510"/>
      <c r="K510"/>
      <c r="L510" s="14"/>
      <c r="M510"/>
      <c r="N510"/>
      <c r="O510"/>
      <c r="P510"/>
    </row>
    <row r="511" spans="1:16" x14ac:dyDescent="0.25">
      <c r="A511"/>
      <c r="B511"/>
      <c r="C511"/>
      <c r="D511"/>
      <c r="E511"/>
      <c r="F511"/>
      <c r="G511"/>
      <c r="H511"/>
      <c r="I511"/>
      <c r="J511"/>
      <c r="K511"/>
      <c r="L511" s="14"/>
      <c r="M511"/>
      <c r="N511"/>
      <c r="O511"/>
      <c r="P511"/>
    </row>
    <row r="512" spans="1:16" x14ac:dyDescent="0.25">
      <c r="A512"/>
      <c r="B512"/>
      <c r="C512"/>
      <c r="D512"/>
      <c r="E512"/>
      <c r="F512"/>
      <c r="G512"/>
      <c r="H512"/>
      <c r="I512"/>
      <c r="J512"/>
      <c r="K512"/>
      <c r="L512" s="14"/>
      <c r="M512"/>
      <c r="N512"/>
      <c r="O512"/>
      <c r="P512"/>
    </row>
    <row r="513" spans="1:16" x14ac:dyDescent="0.25">
      <c r="A513"/>
      <c r="B513"/>
      <c r="C513"/>
      <c r="D513"/>
      <c r="E513"/>
      <c r="F513"/>
      <c r="G513"/>
      <c r="H513"/>
      <c r="I513"/>
      <c r="J513"/>
      <c r="K513"/>
      <c r="L513" s="14"/>
      <c r="M513"/>
      <c r="N513"/>
      <c r="O513"/>
      <c r="P513"/>
    </row>
    <row r="514" spans="1:16" x14ac:dyDescent="0.25">
      <c r="A514"/>
      <c r="B514"/>
      <c r="C514"/>
      <c r="D514"/>
      <c r="E514"/>
      <c r="F514"/>
      <c r="G514"/>
      <c r="H514"/>
      <c r="I514"/>
      <c r="J514"/>
      <c r="K514"/>
      <c r="L514" s="14"/>
      <c r="M514"/>
      <c r="N514"/>
      <c r="O514"/>
      <c r="P514"/>
    </row>
    <row r="515" spans="1:16" x14ac:dyDescent="0.25">
      <c r="A515"/>
      <c r="B515"/>
      <c r="C515"/>
      <c r="D515"/>
      <c r="E515"/>
      <c r="F515"/>
      <c r="G515"/>
      <c r="H515"/>
      <c r="I515"/>
      <c r="J515"/>
      <c r="K515"/>
      <c r="L515" s="14"/>
      <c r="M515"/>
      <c r="N515"/>
      <c r="O515"/>
      <c r="P515"/>
    </row>
    <row r="516" spans="1:16" x14ac:dyDescent="0.25">
      <c r="A516"/>
      <c r="B516"/>
      <c r="C516"/>
      <c r="D516"/>
      <c r="E516"/>
      <c r="F516"/>
      <c r="G516"/>
      <c r="H516"/>
      <c r="I516"/>
      <c r="J516"/>
      <c r="K516"/>
      <c r="L516" s="14"/>
      <c r="M516"/>
      <c r="N516"/>
      <c r="O516"/>
      <c r="P516"/>
    </row>
    <row r="517" spans="1:16" x14ac:dyDescent="0.25">
      <c r="A517"/>
      <c r="B517"/>
      <c r="C517"/>
      <c r="D517"/>
      <c r="E517"/>
      <c r="F517"/>
      <c r="G517"/>
      <c r="H517"/>
      <c r="I517"/>
      <c r="J517"/>
      <c r="K517"/>
      <c r="L517" s="14"/>
      <c r="M517"/>
      <c r="N517"/>
      <c r="O517"/>
      <c r="P517"/>
    </row>
    <row r="518" spans="1:16" x14ac:dyDescent="0.25">
      <c r="A518"/>
      <c r="B518"/>
      <c r="C518"/>
      <c r="D518"/>
      <c r="E518"/>
      <c r="F518"/>
      <c r="G518"/>
      <c r="H518"/>
      <c r="I518"/>
      <c r="J518"/>
      <c r="K518"/>
      <c r="L518" s="14"/>
      <c r="M518"/>
      <c r="N518"/>
      <c r="O518"/>
      <c r="P518"/>
    </row>
    <row r="519" spans="1:16" x14ac:dyDescent="0.25">
      <c r="A519"/>
      <c r="B519"/>
      <c r="C519"/>
      <c r="D519"/>
      <c r="E519"/>
      <c r="F519"/>
      <c r="G519"/>
      <c r="H519"/>
      <c r="I519"/>
      <c r="J519"/>
      <c r="K519"/>
      <c r="L519" s="14"/>
      <c r="M519"/>
      <c r="N519"/>
      <c r="O519"/>
      <c r="P519"/>
    </row>
    <row r="520" spans="1:16" x14ac:dyDescent="0.25">
      <c r="A520"/>
      <c r="B520"/>
      <c r="C520"/>
      <c r="D520"/>
      <c r="E520"/>
      <c r="F520"/>
      <c r="G520"/>
      <c r="H520"/>
      <c r="I520"/>
      <c r="J520"/>
      <c r="K520"/>
      <c r="L520" s="14"/>
      <c r="M520"/>
      <c r="N520"/>
      <c r="O520"/>
      <c r="P520"/>
    </row>
    <row r="521" spans="1:16" x14ac:dyDescent="0.25">
      <c r="A521"/>
      <c r="B521"/>
      <c r="C521"/>
      <c r="D521"/>
      <c r="E521"/>
      <c r="F521"/>
      <c r="G521"/>
      <c r="H521"/>
      <c r="I521"/>
      <c r="J521"/>
      <c r="K521"/>
      <c r="L521" s="14"/>
      <c r="M521"/>
      <c r="N521"/>
      <c r="O521"/>
      <c r="P521"/>
    </row>
    <row r="522" spans="1:16" x14ac:dyDescent="0.25">
      <c r="A522"/>
      <c r="B522"/>
      <c r="C522"/>
      <c r="D522"/>
      <c r="E522"/>
      <c r="F522"/>
      <c r="G522"/>
      <c r="H522"/>
      <c r="I522"/>
      <c r="J522"/>
      <c r="K522"/>
      <c r="L522" s="14"/>
      <c r="M522"/>
      <c r="N522"/>
      <c r="O522"/>
      <c r="P522"/>
    </row>
    <row r="523" spans="1:16" x14ac:dyDescent="0.25">
      <c r="A523"/>
      <c r="B523"/>
      <c r="C523"/>
      <c r="D523"/>
      <c r="E523"/>
      <c r="F523"/>
      <c r="G523"/>
      <c r="H523"/>
      <c r="I523"/>
      <c r="J523"/>
      <c r="K523"/>
      <c r="L523" s="14"/>
      <c r="M523"/>
      <c r="N523"/>
      <c r="O523"/>
      <c r="P523"/>
    </row>
    <row r="524" spans="1:16" x14ac:dyDescent="0.25">
      <c r="A524"/>
      <c r="B524"/>
      <c r="C524"/>
      <c r="D524"/>
      <c r="E524"/>
      <c r="F524"/>
      <c r="G524"/>
      <c r="H524"/>
      <c r="I524"/>
      <c r="J524"/>
      <c r="K524"/>
      <c r="L524" s="14"/>
      <c r="M524"/>
      <c r="N524"/>
      <c r="O524"/>
      <c r="P524"/>
    </row>
    <row r="525" spans="1:16" x14ac:dyDescent="0.25">
      <c r="A525"/>
      <c r="B525"/>
      <c r="C525"/>
      <c r="D525"/>
      <c r="E525"/>
      <c r="F525"/>
      <c r="G525"/>
      <c r="H525"/>
      <c r="I525"/>
      <c r="J525"/>
      <c r="K525"/>
      <c r="L525" s="14"/>
      <c r="M525"/>
      <c r="N525"/>
      <c r="O525"/>
      <c r="P525"/>
    </row>
    <row r="526" spans="1:16" x14ac:dyDescent="0.25">
      <c r="A526"/>
      <c r="B526"/>
      <c r="C526"/>
      <c r="D526"/>
      <c r="E526"/>
      <c r="F526"/>
      <c r="G526"/>
      <c r="H526"/>
      <c r="I526"/>
      <c r="J526"/>
      <c r="K526"/>
      <c r="L526" s="14"/>
      <c r="M526"/>
      <c r="N526"/>
      <c r="O526"/>
      <c r="P526"/>
    </row>
    <row r="527" spans="1:16" x14ac:dyDescent="0.25">
      <c r="A527"/>
      <c r="B527"/>
      <c r="C527"/>
      <c r="D527"/>
      <c r="E527"/>
      <c r="F527"/>
      <c r="G527"/>
      <c r="H527"/>
      <c r="I527"/>
      <c r="J527"/>
      <c r="K527"/>
      <c r="L527" s="14"/>
      <c r="M527"/>
      <c r="N527"/>
      <c r="O527"/>
      <c r="P527"/>
    </row>
    <row r="528" spans="1:16" x14ac:dyDescent="0.25">
      <c r="A528"/>
      <c r="B528"/>
      <c r="C528"/>
      <c r="D528"/>
      <c r="E528"/>
      <c r="F528"/>
      <c r="G528"/>
      <c r="H528"/>
      <c r="I528"/>
      <c r="J528"/>
      <c r="K528"/>
      <c r="L528" s="14"/>
      <c r="M528"/>
      <c r="N528"/>
      <c r="O528"/>
      <c r="P528"/>
    </row>
    <row r="529" spans="1:16" x14ac:dyDescent="0.25">
      <c r="A529"/>
      <c r="B529"/>
      <c r="C529"/>
      <c r="D529"/>
      <c r="E529"/>
      <c r="F529"/>
      <c r="G529"/>
      <c r="H529"/>
      <c r="I529"/>
      <c r="J529"/>
      <c r="K529"/>
      <c r="L529" s="14"/>
      <c r="M529"/>
      <c r="N529"/>
      <c r="O529"/>
      <c r="P529"/>
    </row>
    <row r="530" spans="1:16" x14ac:dyDescent="0.25">
      <c r="A530"/>
      <c r="B530"/>
      <c r="C530"/>
      <c r="D530"/>
      <c r="E530"/>
      <c r="F530"/>
      <c r="G530"/>
      <c r="H530"/>
      <c r="I530"/>
      <c r="J530"/>
      <c r="K530"/>
      <c r="L530" s="14"/>
      <c r="M530"/>
      <c r="N530"/>
      <c r="O530"/>
      <c r="P530"/>
    </row>
    <row r="531" spans="1:16" x14ac:dyDescent="0.25">
      <c r="A531"/>
      <c r="B531"/>
      <c r="C531"/>
      <c r="D531"/>
      <c r="E531"/>
      <c r="F531"/>
      <c r="G531"/>
      <c r="H531"/>
      <c r="I531"/>
      <c r="J531"/>
      <c r="K531"/>
      <c r="L531" s="14"/>
      <c r="M531"/>
      <c r="N531"/>
      <c r="O531"/>
      <c r="P531"/>
    </row>
    <row r="532" spans="1:16" x14ac:dyDescent="0.25">
      <c r="A532"/>
      <c r="B532"/>
      <c r="C532"/>
      <c r="D532"/>
      <c r="E532"/>
      <c r="F532"/>
      <c r="G532"/>
      <c r="H532"/>
      <c r="I532"/>
      <c r="J532"/>
      <c r="K532"/>
      <c r="L532" s="14"/>
      <c r="M532"/>
      <c r="N532"/>
      <c r="O532"/>
      <c r="P532"/>
    </row>
    <row r="533" spans="1:16" x14ac:dyDescent="0.25">
      <c r="A533"/>
      <c r="B533"/>
      <c r="C533"/>
      <c r="D533"/>
      <c r="E533"/>
      <c r="F533"/>
      <c r="G533"/>
      <c r="H533"/>
      <c r="I533"/>
      <c r="J533"/>
      <c r="K533"/>
      <c r="L533" s="14"/>
      <c r="M533"/>
      <c r="N533"/>
      <c r="O533"/>
      <c r="P533"/>
    </row>
    <row r="534" spans="1:16" x14ac:dyDescent="0.25">
      <c r="A534"/>
      <c r="B534"/>
      <c r="C534"/>
      <c r="D534"/>
      <c r="E534"/>
      <c r="F534"/>
      <c r="G534"/>
      <c r="H534"/>
      <c r="I534"/>
      <c r="J534"/>
      <c r="K534"/>
      <c r="L534" s="14"/>
      <c r="M534"/>
      <c r="N534"/>
      <c r="O534"/>
      <c r="P534"/>
    </row>
    <row r="535" spans="1:16" x14ac:dyDescent="0.25">
      <c r="A535"/>
      <c r="B535"/>
      <c r="C535"/>
      <c r="D535"/>
      <c r="E535"/>
      <c r="F535"/>
      <c r="G535"/>
      <c r="H535"/>
      <c r="I535"/>
      <c r="J535"/>
      <c r="K535"/>
      <c r="L535" s="14"/>
      <c r="M535"/>
      <c r="N535"/>
      <c r="O535"/>
      <c r="P535"/>
    </row>
    <row r="536" spans="1:16" x14ac:dyDescent="0.25">
      <c r="A536"/>
      <c r="B536"/>
      <c r="C536"/>
      <c r="D536"/>
      <c r="E536"/>
      <c r="F536"/>
      <c r="G536"/>
      <c r="H536"/>
      <c r="I536"/>
      <c r="J536"/>
      <c r="K536"/>
      <c r="L536" s="14"/>
      <c r="M536"/>
      <c r="N536"/>
      <c r="O536"/>
      <c r="P536"/>
    </row>
    <row r="537" spans="1:16" x14ac:dyDescent="0.25">
      <c r="A537"/>
      <c r="B537"/>
      <c r="C537"/>
      <c r="D537"/>
      <c r="E537"/>
      <c r="F537"/>
      <c r="G537"/>
      <c r="H537"/>
      <c r="I537"/>
      <c r="J537"/>
      <c r="K537"/>
      <c r="L537" s="14"/>
      <c r="M537"/>
      <c r="N537"/>
      <c r="O537"/>
      <c r="P537"/>
    </row>
    <row r="538" spans="1:16" x14ac:dyDescent="0.25">
      <c r="A538"/>
      <c r="B538"/>
      <c r="C538"/>
      <c r="D538"/>
      <c r="E538"/>
      <c r="F538"/>
      <c r="G538"/>
      <c r="H538"/>
      <c r="I538"/>
      <c r="J538"/>
      <c r="K538"/>
      <c r="L538" s="14"/>
      <c r="M538"/>
      <c r="N538"/>
      <c r="O538"/>
      <c r="P538"/>
    </row>
    <row r="539" spans="1:16" x14ac:dyDescent="0.25">
      <c r="A539"/>
      <c r="B539"/>
      <c r="C539"/>
      <c r="D539"/>
      <c r="E539"/>
      <c r="F539"/>
      <c r="G539"/>
      <c r="H539"/>
      <c r="I539"/>
      <c r="J539"/>
      <c r="K539"/>
      <c r="L539" s="14"/>
      <c r="M539"/>
      <c r="N539"/>
      <c r="O539"/>
      <c r="P539"/>
    </row>
    <row r="540" spans="1:16" x14ac:dyDescent="0.25">
      <c r="A540"/>
      <c r="B540"/>
      <c r="C540"/>
      <c r="D540"/>
      <c r="E540"/>
      <c r="F540"/>
      <c r="G540"/>
      <c r="H540"/>
      <c r="I540"/>
      <c r="J540"/>
      <c r="K540"/>
      <c r="L540" s="14"/>
      <c r="M540"/>
      <c r="N540"/>
      <c r="O540"/>
      <c r="P540"/>
    </row>
    <row r="541" spans="1:16" x14ac:dyDescent="0.25">
      <c r="A541"/>
      <c r="B541"/>
      <c r="C541"/>
      <c r="D541"/>
      <c r="E541"/>
      <c r="F541"/>
      <c r="G541"/>
      <c r="H541"/>
      <c r="I541"/>
      <c r="J541"/>
      <c r="K541"/>
      <c r="L541" s="14"/>
      <c r="M541"/>
      <c r="N541"/>
      <c r="O541"/>
      <c r="P541"/>
    </row>
    <row r="542" spans="1:16" x14ac:dyDescent="0.25">
      <c r="A542"/>
      <c r="B542"/>
      <c r="C542"/>
      <c r="D542"/>
      <c r="E542"/>
      <c r="F542"/>
      <c r="G542"/>
      <c r="H542"/>
      <c r="I542"/>
      <c r="J542"/>
      <c r="K542"/>
      <c r="L542" s="14"/>
      <c r="M542"/>
      <c r="N542"/>
      <c r="O542"/>
      <c r="P542"/>
    </row>
    <row r="543" spans="1:16" x14ac:dyDescent="0.25">
      <c r="A543"/>
      <c r="B543"/>
      <c r="C543"/>
      <c r="D543"/>
      <c r="E543"/>
      <c r="F543"/>
      <c r="G543"/>
      <c r="H543"/>
      <c r="I543"/>
      <c r="J543"/>
      <c r="K543"/>
      <c r="L543" s="14"/>
      <c r="M543"/>
      <c r="N543"/>
      <c r="O543"/>
      <c r="P543"/>
    </row>
    <row r="544" spans="1:16" x14ac:dyDescent="0.25">
      <c r="A544"/>
      <c r="B544"/>
      <c r="C544"/>
      <c r="D544"/>
      <c r="E544"/>
      <c r="F544"/>
      <c r="G544"/>
      <c r="H544"/>
      <c r="I544"/>
      <c r="J544"/>
      <c r="K544"/>
      <c r="L544" s="14"/>
      <c r="M544"/>
      <c r="N544"/>
      <c r="O544"/>
      <c r="P544"/>
    </row>
    <row r="545" spans="1:16" x14ac:dyDescent="0.25">
      <c r="A545"/>
      <c r="B545"/>
      <c r="C545"/>
      <c r="D545"/>
      <c r="E545"/>
      <c r="F545"/>
      <c r="G545"/>
      <c r="H545"/>
      <c r="I545"/>
      <c r="J545"/>
      <c r="K545"/>
      <c r="L545" s="14"/>
      <c r="M545"/>
      <c r="N545"/>
      <c r="O545"/>
      <c r="P545"/>
    </row>
    <row r="546" spans="1:16" x14ac:dyDescent="0.25">
      <c r="A546"/>
      <c r="B546"/>
      <c r="C546"/>
      <c r="D546"/>
      <c r="E546"/>
      <c r="F546"/>
      <c r="G546"/>
      <c r="H546"/>
      <c r="I546"/>
      <c r="J546"/>
      <c r="K546"/>
      <c r="L546" s="14"/>
      <c r="M546"/>
      <c r="N546"/>
      <c r="O546"/>
      <c r="P546"/>
    </row>
    <row r="547" spans="1:16" x14ac:dyDescent="0.25">
      <c r="A547"/>
      <c r="B547"/>
      <c r="C547"/>
      <c r="D547"/>
      <c r="E547"/>
      <c r="F547"/>
      <c r="G547"/>
      <c r="H547"/>
      <c r="I547"/>
      <c r="J547"/>
      <c r="K547"/>
      <c r="L547" s="14"/>
      <c r="M547"/>
      <c r="N547"/>
      <c r="O547"/>
      <c r="P547"/>
    </row>
    <row r="548" spans="1:16" x14ac:dyDescent="0.25">
      <c r="A548"/>
      <c r="B548"/>
      <c r="C548"/>
      <c r="D548"/>
      <c r="E548"/>
      <c r="F548"/>
      <c r="G548"/>
      <c r="H548"/>
      <c r="I548"/>
      <c r="J548"/>
      <c r="K548"/>
      <c r="L548" s="14"/>
      <c r="M548"/>
      <c r="N548"/>
      <c r="O548"/>
      <c r="P548"/>
    </row>
    <row r="549" spans="1:16" x14ac:dyDescent="0.25">
      <c r="A549"/>
      <c r="B549"/>
      <c r="C549"/>
      <c r="D549"/>
      <c r="E549"/>
      <c r="F549"/>
      <c r="G549"/>
      <c r="H549"/>
      <c r="I549"/>
      <c r="J549"/>
      <c r="K549"/>
      <c r="L549" s="14"/>
      <c r="M549"/>
      <c r="N549"/>
      <c r="O549"/>
      <c r="P549"/>
    </row>
    <row r="550" spans="1:16" x14ac:dyDescent="0.25">
      <c r="A550"/>
      <c r="B550"/>
      <c r="C550"/>
      <c r="D550"/>
      <c r="E550"/>
      <c r="F550"/>
      <c r="G550"/>
      <c r="H550"/>
      <c r="I550"/>
      <c r="J550"/>
      <c r="K550"/>
      <c r="L550" s="14"/>
      <c r="M550"/>
      <c r="N550"/>
      <c r="O550"/>
      <c r="P550"/>
    </row>
    <row r="551" spans="1:16" x14ac:dyDescent="0.25">
      <c r="A551"/>
      <c r="B551"/>
      <c r="C551"/>
      <c r="D551"/>
      <c r="E551"/>
      <c r="F551"/>
      <c r="G551"/>
      <c r="H551"/>
      <c r="I551"/>
      <c r="J551"/>
      <c r="K551"/>
      <c r="L551" s="14"/>
      <c r="M551"/>
      <c r="N551"/>
      <c r="O551"/>
      <c r="P551"/>
    </row>
    <row r="552" spans="1:16" x14ac:dyDescent="0.25">
      <c r="A552"/>
      <c r="B552"/>
      <c r="C552"/>
      <c r="D552"/>
      <c r="E552"/>
      <c r="F552"/>
      <c r="G552"/>
      <c r="H552"/>
      <c r="I552"/>
      <c r="J552"/>
      <c r="K552"/>
      <c r="L552" s="14"/>
      <c r="M552"/>
      <c r="N552"/>
      <c r="O552"/>
      <c r="P552"/>
    </row>
    <row r="553" spans="1:16" x14ac:dyDescent="0.25">
      <c r="A553"/>
      <c r="B553"/>
      <c r="C553"/>
      <c r="D553"/>
      <c r="E553"/>
      <c r="F553"/>
      <c r="G553"/>
      <c r="H553"/>
      <c r="I553"/>
      <c r="J553"/>
      <c r="K553"/>
      <c r="L553" s="14"/>
      <c r="M553"/>
      <c r="N553"/>
      <c r="O553"/>
      <c r="P553"/>
    </row>
    <row r="554" spans="1:16" x14ac:dyDescent="0.25">
      <c r="A554"/>
      <c r="B554"/>
      <c r="C554"/>
      <c r="D554"/>
      <c r="E554"/>
      <c r="F554"/>
      <c r="G554"/>
      <c r="H554"/>
      <c r="I554"/>
      <c r="J554"/>
      <c r="K554"/>
      <c r="L554" s="14"/>
      <c r="M554"/>
      <c r="N554"/>
      <c r="O554"/>
      <c r="P554"/>
    </row>
    <row r="555" spans="1:16" x14ac:dyDescent="0.25">
      <c r="A555"/>
      <c r="B555"/>
      <c r="C555"/>
      <c r="D555"/>
      <c r="E555"/>
      <c r="F555"/>
      <c r="G555"/>
      <c r="H555"/>
      <c r="I555"/>
      <c r="J555"/>
      <c r="K555"/>
      <c r="L555" s="14"/>
      <c r="M555"/>
      <c r="N555"/>
      <c r="O555"/>
      <c r="P555"/>
    </row>
    <row r="556" spans="1:16" x14ac:dyDescent="0.25">
      <c r="A556"/>
      <c r="B556"/>
      <c r="C556"/>
      <c r="D556"/>
      <c r="E556"/>
      <c r="F556"/>
      <c r="G556"/>
      <c r="H556"/>
      <c r="I556"/>
      <c r="J556"/>
      <c r="K556"/>
      <c r="L556" s="14"/>
      <c r="M556"/>
      <c r="N556"/>
      <c r="O556"/>
      <c r="P556"/>
    </row>
    <row r="557" spans="1:16" x14ac:dyDescent="0.25">
      <c r="A557"/>
      <c r="B557"/>
      <c r="C557"/>
      <c r="D557"/>
      <c r="E557"/>
      <c r="F557"/>
      <c r="G557"/>
      <c r="H557"/>
      <c r="I557"/>
      <c r="J557"/>
      <c r="K557"/>
      <c r="L557" s="14"/>
      <c r="M557"/>
      <c r="N557"/>
      <c r="O557"/>
      <c r="P557"/>
    </row>
    <row r="558" spans="1:16" x14ac:dyDescent="0.25">
      <c r="A558"/>
      <c r="B558"/>
      <c r="C558"/>
      <c r="D558"/>
      <c r="E558"/>
      <c r="F558"/>
      <c r="G558"/>
      <c r="H558"/>
      <c r="I558"/>
      <c r="J558"/>
      <c r="K558"/>
      <c r="L558" s="14"/>
      <c r="M558"/>
      <c r="N558"/>
      <c r="O558"/>
      <c r="P558"/>
    </row>
    <row r="559" spans="1:16" x14ac:dyDescent="0.25">
      <c r="A559"/>
      <c r="B559"/>
      <c r="C559"/>
      <c r="D559"/>
      <c r="E559"/>
      <c r="F559"/>
      <c r="G559"/>
      <c r="H559"/>
      <c r="I559"/>
      <c r="J559"/>
      <c r="K559"/>
      <c r="L559" s="14"/>
      <c r="M559"/>
      <c r="N559"/>
      <c r="O559"/>
      <c r="P559"/>
    </row>
    <row r="560" spans="1:16" x14ac:dyDescent="0.25">
      <c r="A560"/>
      <c r="B560"/>
      <c r="C560"/>
      <c r="D560"/>
      <c r="E560"/>
      <c r="F560"/>
      <c r="G560"/>
      <c r="H560"/>
      <c r="I560"/>
      <c r="J560"/>
      <c r="K560"/>
      <c r="L560" s="14"/>
      <c r="M560"/>
      <c r="N560"/>
      <c r="O560"/>
      <c r="P560"/>
    </row>
    <row r="561" spans="1:16" x14ac:dyDescent="0.25">
      <c r="A561"/>
      <c r="B561"/>
      <c r="C561"/>
      <c r="D561"/>
      <c r="E561"/>
      <c r="F561"/>
      <c r="G561"/>
      <c r="H561"/>
      <c r="I561"/>
      <c r="J561"/>
      <c r="K561"/>
      <c r="L561" s="14"/>
      <c r="M561"/>
      <c r="N561"/>
      <c r="O561"/>
      <c r="P561"/>
    </row>
    <row r="562" spans="1:16" x14ac:dyDescent="0.25">
      <c r="A562"/>
      <c r="B562"/>
      <c r="C562"/>
      <c r="D562"/>
      <c r="E562"/>
      <c r="F562"/>
      <c r="G562"/>
      <c r="H562"/>
      <c r="I562"/>
      <c r="J562"/>
      <c r="K562"/>
      <c r="L562" s="14"/>
      <c r="M562"/>
      <c r="N562"/>
      <c r="O562"/>
      <c r="P562"/>
    </row>
    <row r="563" spans="1:16" x14ac:dyDescent="0.25">
      <c r="A563"/>
      <c r="B563"/>
      <c r="C563"/>
      <c r="D563"/>
      <c r="E563"/>
      <c r="F563"/>
      <c r="G563"/>
      <c r="H563"/>
      <c r="I563"/>
      <c r="J563"/>
      <c r="K563"/>
      <c r="L563" s="14"/>
      <c r="M563"/>
      <c r="N563"/>
      <c r="O563"/>
      <c r="P563"/>
    </row>
    <row r="564" spans="1:16" x14ac:dyDescent="0.25">
      <c r="A564"/>
      <c r="B564"/>
      <c r="C564"/>
      <c r="D564"/>
      <c r="E564"/>
      <c r="F564"/>
      <c r="G564"/>
      <c r="H564"/>
      <c r="I564"/>
      <c r="J564"/>
      <c r="K564"/>
      <c r="L564" s="14"/>
      <c r="M564"/>
      <c r="N564"/>
      <c r="O564"/>
      <c r="P564"/>
    </row>
    <row r="565" spans="1:16" x14ac:dyDescent="0.25">
      <c r="A565"/>
      <c r="B565"/>
      <c r="C565"/>
      <c r="D565"/>
      <c r="E565"/>
      <c r="F565"/>
      <c r="G565"/>
      <c r="H565"/>
      <c r="I565"/>
      <c r="J565"/>
      <c r="K565"/>
      <c r="L565" s="14"/>
      <c r="M565"/>
      <c r="N565"/>
      <c r="O565"/>
      <c r="P565"/>
    </row>
    <row r="566" spans="1:16" x14ac:dyDescent="0.25">
      <c r="A566"/>
      <c r="B566"/>
      <c r="C566"/>
      <c r="D566"/>
      <c r="E566"/>
      <c r="F566"/>
      <c r="G566"/>
      <c r="H566"/>
      <c r="I566"/>
      <c r="J566"/>
      <c r="K566"/>
      <c r="L566" s="14"/>
      <c r="M566"/>
      <c r="N566"/>
      <c r="O566"/>
      <c r="P566"/>
    </row>
    <row r="567" spans="1:16" x14ac:dyDescent="0.25">
      <c r="A567"/>
      <c r="B567"/>
      <c r="C567"/>
      <c r="D567"/>
      <c r="E567"/>
      <c r="F567"/>
      <c r="G567"/>
      <c r="H567"/>
      <c r="I567"/>
      <c r="J567"/>
      <c r="K567"/>
      <c r="L567" s="14"/>
      <c r="M567"/>
      <c r="N567"/>
      <c r="O567"/>
      <c r="P567"/>
    </row>
    <row r="568" spans="1:16" x14ac:dyDescent="0.25">
      <c r="A568"/>
      <c r="B568"/>
      <c r="C568"/>
      <c r="D568"/>
      <c r="E568"/>
      <c r="F568"/>
      <c r="G568"/>
      <c r="H568"/>
      <c r="I568"/>
      <c r="J568"/>
      <c r="K568"/>
      <c r="L568" s="14"/>
      <c r="M568"/>
      <c r="N568"/>
      <c r="O568"/>
      <c r="P568"/>
    </row>
    <row r="569" spans="1:16" x14ac:dyDescent="0.25">
      <c r="A569"/>
      <c r="B569"/>
      <c r="C569"/>
      <c r="D569"/>
      <c r="E569"/>
      <c r="F569"/>
      <c r="G569"/>
      <c r="H569"/>
      <c r="I569"/>
      <c r="J569"/>
      <c r="K569"/>
      <c r="L569" s="14"/>
      <c r="M569"/>
      <c r="N569"/>
      <c r="O569"/>
      <c r="P569"/>
    </row>
    <row r="570" spans="1:16" x14ac:dyDescent="0.25">
      <c r="A570"/>
      <c r="B570"/>
      <c r="C570"/>
      <c r="D570"/>
      <c r="E570"/>
      <c r="F570"/>
      <c r="G570"/>
      <c r="H570"/>
      <c r="I570"/>
      <c r="J570"/>
      <c r="K570"/>
      <c r="L570" s="14"/>
      <c r="M570"/>
      <c r="N570"/>
      <c r="O570"/>
      <c r="P570"/>
    </row>
    <row r="571" spans="1:16" x14ac:dyDescent="0.25">
      <c r="A571"/>
      <c r="B571"/>
      <c r="C571"/>
      <c r="D571"/>
      <c r="E571"/>
      <c r="F571"/>
      <c r="G571"/>
      <c r="H571"/>
      <c r="I571"/>
      <c r="J571"/>
      <c r="K571"/>
      <c r="L571" s="14"/>
      <c r="M571"/>
      <c r="N571"/>
      <c r="O571"/>
      <c r="P571"/>
    </row>
    <row r="572" spans="1:16" x14ac:dyDescent="0.25">
      <c r="A572"/>
      <c r="B572"/>
      <c r="C572"/>
      <c r="D572"/>
      <c r="E572"/>
      <c r="F572"/>
      <c r="G572"/>
      <c r="H572"/>
      <c r="I572"/>
      <c r="J572"/>
      <c r="K572"/>
      <c r="L572" s="14"/>
      <c r="M572"/>
      <c r="N572"/>
      <c r="O572"/>
      <c r="P572"/>
    </row>
    <row r="573" spans="1:16" x14ac:dyDescent="0.25">
      <c r="A573"/>
      <c r="B573"/>
      <c r="C573"/>
      <c r="D573"/>
      <c r="E573"/>
      <c r="F573"/>
      <c r="G573"/>
      <c r="H573"/>
      <c r="I573"/>
      <c r="J573"/>
      <c r="K573"/>
      <c r="L573" s="14"/>
      <c r="M573"/>
      <c r="N573"/>
      <c r="O573"/>
      <c r="P573"/>
    </row>
    <row r="574" spans="1:16" x14ac:dyDescent="0.25">
      <c r="A574"/>
      <c r="B574"/>
      <c r="C574"/>
      <c r="D574"/>
      <c r="E574"/>
      <c r="F574"/>
      <c r="G574"/>
      <c r="H574"/>
      <c r="I574"/>
      <c r="J574"/>
      <c r="K574"/>
      <c r="L574" s="14"/>
      <c r="M574"/>
      <c r="N574"/>
      <c r="O574"/>
      <c r="P574"/>
    </row>
    <row r="575" spans="1:16" x14ac:dyDescent="0.25">
      <c r="A575"/>
      <c r="B575"/>
      <c r="C575"/>
      <c r="D575"/>
      <c r="E575"/>
      <c r="F575"/>
      <c r="G575"/>
      <c r="H575"/>
      <c r="I575"/>
      <c r="J575"/>
      <c r="K575"/>
      <c r="L575" s="14"/>
      <c r="M575"/>
      <c r="N575"/>
      <c r="O575"/>
      <c r="P575"/>
    </row>
    <row r="576" spans="1:16" x14ac:dyDescent="0.25">
      <c r="A576"/>
      <c r="B576"/>
      <c r="C576"/>
      <c r="D576"/>
      <c r="E576"/>
      <c r="F576"/>
      <c r="G576"/>
      <c r="H576"/>
      <c r="I576"/>
      <c r="J576"/>
      <c r="K576"/>
      <c r="L576" s="14"/>
      <c r="M576"/>
      <c r="N576"/>
      <c r="O576"/>
      <c r="P576"/>
    </row>
    <row r="577" spans="1:16" x14ac:dyDescent="0.25">
      <c r="A577"/>
      <c r="B577"/>
      <c r="C577"/>
      <c r="D577"/>
      <c r="E577"/>
      <c r="F577"/>
      <c r="G577"/>
      <c r="H577"/>
      <c r="I577"/>
      <c r="J577"/>
      <c r="K577"/>
      <c r="L577" s="14"/>
      <c r="M577"/>
      <c r="N577"/>
      <c r="O577"/>
      <c r="P577"/>
    </row>
    <row r="578" spans="1:16" x14ac:dyDescent="0.25">
      <c r="A578"/>
      <c r="B578"/>
      <c r="C578"/>
      <c r="D578"/>
      <c r="E578"/>
      <c r="F578"/>
      <c r="G578"/>
      <c r="H578"/>
      <c r="I578"/>
      <c r="J578"/>
      <c r="K578"/>
      <c r="L578" s="14"/>
      <c r="M578"/>
      <c r="N578"/>
      <c r="O578"/>
      <c r="P578"/>
    </row>
    <row r="579" spans="1:16" x14ac:dyDescent="0.25">
      <c r="A579"/>
      <c r="B579"/>
      <c r="C579"/>
      <c r="D579"/>
      <c r="E579"/>
      <c r="F579"/>
      <c r="G579"/>
      <c r="H579"/>
      <c r="I579"/>
      <c r="J579"/>
      <c r="K579"/>
      <c r="L579" s="14"/>
      <c r="M579"/>
      <c r="N579"/>
      <c r="O579"/>
      <c r="P579"/>
    </row>
    <row r="580" spans="1:16" x14ac:dyDescent="0.25">
      <c r="A580"/>
      <c r="B580"/>
      <c r="C580"/>
      <c r="D580"/>
      <c r="E580"/>
      <c r="F580"/>
      <c r="G580"/>
      <c r="H580"/>
      <c r="I580"/>
      <c r="J580"/>
      <c r="K580"/>
      <c r="L580" s="14"/>
      <c r="M580"/>
      <c r="N580"/>
      <c r="O580"/>
      <c r="P580"/>
    </row>
    <row r="581" spans="1:16" x14ac:dyDescent="0.25">
      <c r="A581"/>
      <c r="B581"/>
      <c r="C581"/>
      <c r="D581"/>
      <c r="E581"/>
      <c r="F581"/>
      <c r="G581"/>
      <c r="H581"/>
      <c r="I581"/>
      <c r="J581"/>
      <c r="K581"/>
      <c r="L581" s="14"/>
      <c r="M581"/>
      <c r="N581"/>
      <c r="O581"/>
      <c r="P581"/>
    </row>
    <row r="582" spans="1:16" x14ac:dyDescent="0.25">
      <c r="A582"/>
      <c r="B582"/>
      <c r="C582"/>
      <c r="D582"/>
      <c r="E582"/>
      <c r="F582"/>
      <c r="G582"/>
      <c r="H582"/>
      <c r="I582"/>
      <c r="J582"/>
      <c r="K582"/>
      <c r="L582" s="14"/>
      <c r="M582"/>
      <c r="N582"/>
      <c r="O582"/>
      <c r="P582"/>
    </row>
    <row r="583" spans="1:16" x14ac:dyDescent="0.25">
      <c r="A583"/>
      <c r="B583"/>
      <c r="C583"/>
      <c r="D583"/>
      <c r="E583"/>
      <c r="F583"/>
      <c r="G583"/>
      <c r="H583"/>
      <c r="I583"/>
      <c r="J583"/>
      <c r="K583"/>
      <c r="L583" s="14"/>
      <c r="M583"/>
      <c r="N583"/>
      <c r="O583"/>
      <c r="P583"/>
    </row>
    <row r="584" spans="1:16" x14ac:dyDescent="0.25">
      <c r="A584"/>
      <c r="B584"/>
      <c r="C584"/>
      <c r="D584"/>
      <c r="E584"/>
      <c r="F584"/>
      <c r="G584"/>
      <c r="H584"/>
      <c r="I584"/>
      <c r="J584"/>
      <c r="K584"/>
      <c r="L584" s="14"/>
      <c r="M584"/>
      <c r="N584"/>
      <c r="O584"/>
      <c r="P584"/>
    </row>
    <row r="585" spans="1:16" x14ac:dyDescent="0.25">
      <c r="A585"/>
      <c r="B585"/>
      <c r="C585"/>
      <c r="D585"/>
      <c r="E585"/>
      <c r="F585"/>
      <c r="G585"/>
      <c r="H585"/>
      <c r="I585"/>
      <c r="J585"/>
      <c r="K585"/>
      <c r="L585" s="14"/>
      <c r="M585"/>
      <c r="N585"/>
      <c r="O585"/>
      <c r="P585"/>
    </row>
    <row r="586" spans="1:16" x14ac:dyDescent="0.25">
      <c r="A586"/>
      <c r="B586"/>
      <c r="C586"/>
      <c r="D586"/>
      <c r="E586"/>
      <c r="F586"/>
      <c r="G586"/>
      <c r="H586"/>
      <c r="I586"/>
      <c r="J586"/>
      <c r="K586"/>
      <c r="L586" s="14"/>
      <c r="M586"/>
      <c r="N586"/>
      <c r="O586"/>
      <c r="P586"/>
    </row>
    <row r="587" spans="1:16" x14ac:dyDescent="0.25">
      <c r="A587"/>
      <c r="B587"/>
      <c r="C587"/>
      <c r="D587"/>
      <c r="E587"/>
      <c r="F587"/>
      <c r="G587"/>
      <c r="H587"/>
      <c r="I587"/>
      <c r="J587"/>
      <c r="K587"/>
      <c r="L587" s="14"/>
      <c r="M587"/>
      <c r="N587"/>
      <c r="O587"/>
      <c r="P587"/>
    </row>
    <row r="588" spans="1:16" x14ac:dyDescent="0.25">
      <c r="A588"/>
      <c r="B588"/>
      <c r="C588"/>
      <c r="D588"/>
      <c r="E588"/>
      <c r="F588"/>
      <c r="G588"/>
      <c r="H588"/>
      <c r="I588"/>
      <c r="J588"/>
      <c r="K588"/>
      <c r="L588" s="14"/>
      <c r="M588"/>
      <c r="N588"/>
      <c r="O588"/>
      <c r="P588"/>
    </row>
    <row r="589" spans="1:16" x14ac:dyDescent="0.25">
      <c r="A589"/>
      <c r="B589"/>
      <c r="C589"/>
      <c r="D589"/>
      <c r="E589"/>
      <c r="F589"/>
      <c r="G589"/>
      <c r="H589"/>
      <c r="I589"/>
      <c r="J589"/>
      <c r="K589"/>
      <c r="L589" s="14"/>
      <c r="M589"/>
      <c r="N589"/>
      <c r="O589"/>
      <c r="P589"/>
    </row>
    <row r="590" spans="1:16" x14ac:dyDescent="0.25">
      <c r="A590"/>
      <c r="B590"/>
      <c r="C590"/>
      <c r="D590"/>
      <c r="E590"/>
      <c r="F590"/>
      <c r="G590"/>
      <c r="H590"/>
      <c r="I590"/>
      <c r="J590"/>
      <c r="K590"/>
      <c r="L590" s="14"/>
      <c r="M590"/>
      <c r="N590"/>
      <c r="O590"/>
      <c r="P590"/>
    </row>
    <row r="591" spans="1:16" x14ac:dyDescent="0.25">
      <c r="A591"/>
      <c r="B591"/>
      <c r="C591"/>
      <c r="D591"/>
      <c r="E591"/>
      <c r="F591"/>
      <c r="G591"/>
      <c r="H591"/>
      <c r="I591"/>
      <c r="J591"/>
      <c r="K591"/>
      <c r="L591" s="14"/>
      <c r="M591"/>
      <c r="N591"/>
      <c r="O591"/>
      <c r="P591"/>
    </row>
    <row r="592" spans="1:16" x14ac:dyDescent="0.25">
      <c r="A592"/>
      <c r="B592"/>
      <c r="C592"/>
      <c r="D592"/>
      <c r="E592"/>
      <c r="F592"/>
      <c r="G592"/>
      <c r="H592"/>
      <c r="I592"/>
      <c r="J592"/>
      <c r="K592"/>
      <c r="L592" s="14"/>
      <c r="M592"/>
      <c r="N592"/>
      <c r="O592"/>
      <c r="P592"/>
    </row>
    <row r="593" spans="1:16" x14ac:dyDescent="0.25">
      <c r="A593"/>
      <c r="B593"/>
      <c r="C593"/>
      <c r="D593"/>
      <c r="E593"/>
      <c r="F593"/>
      <c r="G593"/>
      <c r="H593"/>
      <c r="I593"/>
      <c r="J593"/>
      <c r="K593"/>
      <c r="L593" s="14"/>
      <c r="M593"/>
      <c r="N593"/>
      <c r="O593"/>
      <c r="P593"/>
    </row>
    <row r="594" spans="1:16" x14ac:dyDescent="0.25">
      <c r="A594"/>
      <c r="B594"/>
      <c r="C594"/>
      <c r="D594"/>
      <c r="E594"/>
      <c r="F594"/>
      <c r="G594"/>
      <c r="H594"/>
      <c r="I594"/>
      <c r="J594"/>
      <c r="K594"/>
      <c r="L594" s="14"/>
      <c r="M594"/>
      <c r="N594"/>
      <c r="O594"/>
      <c r="P594"/>
    </row>
    <row r="595" spans="1:16" x14ac:dyDescent="0.25">
      <c r="A595"/>
      <c r="B595"/>
      <c r="C595"/>
      <c r="D595"/>
      <c r="E595"/>
      <c r="F595"/>
      <c r="G595"/>
      <c r="H595"/>
      <c r="I595"/>
      <c r="J595"/>
      <c r="K595"/>
      <c r="L595" s="14"/>
      <c r="M595"/>
      <c r="N595"/>
      <c r="O595"/>
      <c r="P595"/>
    </row>
    <row r="596" spans="1:16" x14ac:dyDescent="0.25">
      <c r="A596"/>
      <c r="B596"/>
      <c r="C596"/>
      <c r="D596"/>
      <c r="E596"/>
      <c r="F596"/>
      <c r="G596"/>
      <c r="H596"/>
      <c r="I596"/>
      <c r="J596"/>
      <c r="K596"/>
      <c r="L596" s="14"/>
      <c r="M596"/>
      <c r="N596"/>
      <c r="O596"/>
      <c r="P596"/>
    </row>
    <row r="597" spans="1:16" x14ac:dyDescent="0.25">
      <c r="A597"/>
      <c r="B597"/>
      <c r="C597"/>
      <c r="D597"/>
      <c r="E597"/>
      <c r="F597"/>
      <c r="G597"/>
      <c r="H597"/>
      <c r="I597"/>
      <c r="J597"/>
      <c r="K597"/>
      <c r="L597" s="14"/>
      <c r="M597"/>
      <c r="N597"/>
      <c r="O597"/>
      <c r="P597"/>
    </row>
    <row r="598" spans="1:16" x14ac:dyDescent="0.25">
      <c r="A598"/>
      <c r="B598"/>
      <c r="C598"/>
      <c r="D598"/>
      <c r="E598"/>
      <c r="F598"/>
      <c r="G598"/>
      <c r="H598"/>
      <c r="I598"/>
      <c r="J598"/>
      <c r="K598"/>
      <c r="L598" s="14"/>
      <c r="M598"/>
      <c r="N598"/>
      <c r="O598"/>
      <c r="P598"/>
    </row>
    <row r="599" spans="1:16" x14ac:dyDescent="0.25">
      <c r="A599"/>
      <c r="B599"/>
      <c r="C599"/>
      <c r="D599"/>
      <c r="E599"/>
      <c r="F599"/>
      <c r="G599"/>
      <c r="H599"/>
      <c r="I599"/>
      <c r="J599"/>
      <c r="K599"/>
      <c r="L599" s="14"/>
      <c r="M599"/>
      <c r="N599"/>
      <c r="O599"/>
      <c r="P599"/>
    </row>
    <row r="600" spans="1:16" x14ac:dyDescent="0.25">
      <c r="A600"/>
      <c r="B600"/>
      <c r="C600"/>
      <c r="D600"/>
      <c r="E600"/>
      <c r="F600"/>
      <c r="G600"/>
      <c r="H600"/>
      <c r="I600"/>
      <c r="J600"/>
      <c r="K600"/>
      <c r="L600" s="14"/>
      <c r="M600"/>
      <c r="N600"/>
      <c r="O600"/>
      <c r="P600"/>
    </row>
    <row r="601" spans="1:16" x14ac:dyDescent="0.25">
      <c r="A601"/>
      <c r="B601"/>
      <c r="C601"/>
      <c r="D601"/>
      <c r="E601"/>
      <c r="F601"/>
      <c r="G601"/>
      <c r="H601"/>
      <c r="I601"/>
      <c r="J601"/>
      <c r="K601"/>
      <c r="L601" s="14"/>
      <c r="M601"/>
      <c r="N601"/>
      <c r="O601"/>
      <c r="P601"/>
    </row>
    <row r="602" spans="1:16" x14ac:dyDescent="0.25">
      <c r="A602"/>
      <c r="B602"/>
      <c r="C602"/>
      <c r="D602"/>
      <c r="E602"/>
      <c r="F602"/>
      <c r="G602"/>
      <c r="H602"/>
      <c r="I602"/>
      <c r="J602"/>
      <c r="K602"/>
      <c r="L602" s="14"/>
      <c r="M602"/>
      <c r="N602"/>
      <c r="O602"/>
      <c r="P602"/>
    </row>
    <row r="603" spans="1:16" x14ac:dyDescent="0.25">
      <c r="A603"/>
      <c r="B603"/>
      <c r="C603"/>
      <c r="D603"/>
      <c r="E603"/>
      <c r="F603"/>
      <c r="G603"/>
      <c r="H603"/>
      <c r="I603"/>
      <c r="J603"/>
      <c r="K603"/>
      <c r="L603" s="14"/>
      <c r="M603"/>
      <c r="N603"/>
      <c r="O603"/>
      <c r="P603"/>
    </row>
    <row r="604" spans="1:16" x14ac:dyDescent="0.25">
      <c r="A604"/>
      <c r="B604"/>
      <c r="C604"/>
      <c r="D604"/>
      <c r="E604"/>
      <c r="F604"/>
      <c r="G604"/>
      <c r="H604"/>
      <c r="I604"/>
      <c r="J604"/>
      <c r="K604"/>
      <c r="L604" s="14"/>
      <c r="M604"/>
      <c r="N604"/>
      <c r="O604"/>
      <c r="P604"/>
    </row>
    <row r="605" spans="1:16" x14ac:dyDescent="0.25">
      <c r="A605"/>
      <c r="B605"/>
      <c r="C605"/>
      <c r="D605"/>
      <c r="E605"/>
      <c r="F605"/>
      <c r="G605"/>
      <c r="H605"/>
      <c r="I605"/>
      <c r="J605"/>
      <c r="K605"/>
      <c r="L605" s="14"/>
      <c r="M605"/>
      <c r="N605"/>
      <c r="O605"/>
      <c r="P605"/>
    </row>
    <row r="606" spans="1:16" x14ac:dyDescent="0.25">
      <c r="A606"/>
      <c r="B606"/>
      <c r="C606"/>
      <c r="D606"/>
      <c r="E606"/>
      <c r="F606"/>
      <c r="G606"/>
      <c r="H606"/>
      <c r="I606"/>
      <c r="J606"/>
      <c r="K606"/>
      <c r="L606" s="14"/>
      <c r="M606"/>
      <c r="N606"/>
      <c r="O606"/>
      <c r="P606"/>
    </row>
    <row r="607" spans="1:16" x14ac:dyDescent="0.25">
      <c r="A607"/>
      <c r="B607"/>
      <c r="C607"/>
      <c r="D607"/>
      <c r="E607"/>
      <c r="F607"/>
      <c r="G607"/>
      <c r="H607"/>
      <c r="I607"/>
      <c r="J607"/>
      <c r="K607"/>
      <c r="L607" s="14"/>
      <c r="M607"/>
      <c r="N607"/>
      <c r="O607"/>
      <c r="P607"/>
    </row>
    <row r="608" spans="1:16" x14ac:dyDescent="0.25">
      <c r="A608"/>
      <c r="B608"/>
      <c r="C608"/>
      <c r="D608"/>
      <c r="E608"/>
      <c r="F608"/>
      <c r="G608"/>
      <c r="H608"/>
      <c r="I608"/>
      <c r="J608"/>
      <c r="K608"/>
      <c r="L608" s="14"/>
      <c r="M608"/>
      <c r="N608"/>
      <c r="O608"/>
      <c r="P608"/>
    </row>
    <row r="609" spans="1:16" x14ac:dyDescent="0.25">
      <c r="A609"/>
      <c r="B609"/>
      <c r="C609"/>
      <c r="D609"/>
      <c r="E609"/>
      <c r="F609"/>
      <c r="G609"/>
      <c r="H609"/>
      <c r="I609"/>
      <c r="J609"/>
      <c r="K609"/>
      <c r="L609" s="14"/>
      <c r="M609"/>
      <c r="N609"/>
      <c r="O609"/>
      <c r="P609"/>
    </row>
    <row r="610" spans="1:16" x14ac:dyDescent="0.25">
      <c r="A610"/>
      <c r="B610"/>
      <c r="C610"/>
      <c r="D610"/>
      <c r="E610"/>
      <c r="F610"/>
      <c r="G610"/>
      <c r="H610"/>
      <c r="I610"/>
      <c r="J610"/>
      <c r="K610"/>
      <c r="L610" s="14"/>
      <c r="M610"/>
      <c r="N610"/>
      <c r="O610"/>
      <c r="P610"/>
    </row>
    <row r="611" spans="1:16" x14ac:dyDescent="0.25">
      <c r="A611"/>
      <c r="B611"/>
      <c r="C611"/>
      <c r="D611"/>
      <c r="E611"/>
      <c r="F611"/>
      <c r="G611"/>
      <c r="H611"/>
      <c r="I611"/>
      <c r="J611"/>
      <c r="K611"/>
      <c r="L611" s="14"/>
      <c r="M611"/>
      <c r="N611"/>
      <c r="O611"/>
      <c r="P611"/>
    </row>
    <row r="612" spans="1:16" x14ac:dyDescent="0.25">
      <c r="A612"/>
      <c r="B612"/>
      <c r="C612"/>
      <c r="D612"/>
      <c r="E612"/>
      <c r="F612"/>
      <c r="G612"/>
      <c r="H612"/>
      <c r="I612"/>
      <c r="J612"/>
      <c r="K612"/>
      <c r="L612" s="14"/>
      <c r="M612"/>
      <c r="N612"/>
      <c r="O612"/>
      <c r="P612"/>
    </row>
    <row r="613" spans="1:16" x14ac:dyDescent="0.25">
      <c r="A613"/>
      <c r="B613"/>
      <c r="C613"/>
      <c r="D613"/>
      <c r="E613"/>
      <c r="F613"/>
      <c r="G613"/>
      <c r="H613"/>
      <c r="I613"/>
      <c r="J613"/>
      <c r="K613"/>
      <c r="L613" s="14"/>
      <c r="M613"/>
      <c r="N613"/>
      <c r="O613"/>
      <c r="P613"/>
    </row>
    <row r="614" spans="1:16" x14ac:dyDescent="0.25">
      <c r="A614"/>
      <c r="B614"/>
      <c r="C614"/>
      <c r="D614"/>
      <c r="E614"/>
      <c r="F614"/>
      <c r="G614"/>
      <c r="H614"/>
      <c r="I614"/>
      <c r="J614"/>
      <c r="K614"/>
      <c r="L614" s="14"/>
      <c r="M614"/>
      <c r="N614"/>
      <c r="O614"/>
      <c r="P614"/>
    </row>
    <row r="615" spans="1:16" x14ac:dyDescent="0.25">
      <c r="A615"/>
      <c r="B615"/>
      <c r="C615"/>
      <c r="D615"/>
      <c r="E615"/>
      <c r="F615"/>
      <c r="G615"/>
      <c r="H615"/>
      <c r="I615"/>
      <c r="J615"/>
      <c r="K615"/>
      <c r="L615" s="14"/>
      <c r="M615"/>
      <c r="N615"/>
      <c r="O615"/>
      <c r="P615"/>
    </row>
    <row r="616" spans="1:16" x14ac:dyDescent="0.25">
      <c r="A616"/>
      <c r="B616"/>
      <c r="C616"/>
      <c r="D616"/>
      <c r="E616"/>
      <c r="F616"/>
      <c r="G616"/>
      <c r="H616"/>
      <c r="I616"/>
      <c r="J616"/>
      <c r="K616"/>
      <c r="L616" s="14"/>
      <c r="M616"/>
      <c r="N616"/>
      <c r="O616"/>
      <c r="P616"/>
    </row>
    <row r="617" spans="1:16" x14ac:dyDescent="0.25">
      <c r="A617"/>
      <c r="B617"/>
      <c r="C617"/>
      <c r="D617"/>
      <c r="E617"/>
      <c r="F617"/>
      <c r="G617"/>
      <c r="H617"/>
      <c r="I617"/>
      <c r="J617"/>
      <c r="K617"/>
      <c r="L617" s="14"/>
      <c r="M617"/>
      <c r="N617"/>
      <c r="O617"/>
      <c r="P617"/>
    </row>
    <row r="618" spans="1:16" x14ac:dyDescent="0.25">
      <c r="A618"/>
      <c r="B618"/>
      <c r="C618"/>
      <c r="D618"/>
      <c r="E618"/>
      <c r="F618"/>
      <c r="G618"/>
      <c r="H618"/>
      <c r="I618"/>
      <c r="J618"/>
      <c r="K618"/>
      <c r="L618" s="14"/>
      <c r="M618"/>
      <c r="N618"/>
      <c r="O618"/>
      <c r="P618"/>
    </row>
    <row r="619" spans="1:16" x14ac:dyDescent="0.25">
      <c r="A619"/>
      <c r="B619"/>
      <c r="C619"/>
      <c r="D619"/>
      <c r="E619"/>
      <c r="F619"/>
      <c r="G619"/>
      <c r="H619"/>
      <c r="I619"/>
      <c r="J619"/>
      <c r="K619"/>
      <c r="L619" s="14"/>
      <c r="M619"/>
      <c r="N619"/>
      <c r="O619"/>
      <c r="P619"/>
    </row>
    <row r="620" spans="1:16" x14ac:dyDescent="0.25">
      <c r="A620"/>
      <c r="B620"/>
      <c r="C620"/>
      <c r="D620"/>
      <c r="E620"/>
      <c r="F620"/>
      <c r="G620"/>
      <c r="H620"/>
      <c r="I620"/>
      <c r="J620"/>
      <c r="K620"/>
      <c r="L620" s="14"/>
      <c r="M620"/>
      <c r="N620"/>
      <c r="O620"/>
      <c r="P620"/>
    </row>
    <row r="621" spans="1:16" x14ac:dyDescent="0.25">
      <c r="A621"/>
      <c r="B621"/>
      <c r="C621"/>
      <c r="D621"/>
      <c r="E621"/>
      <c r="F621"/>
      <c r="G621"/>
      <c r="H621"/>
      <c r="I621"/>
      <c r="J621"/>
      <c r="K621"/>
      <c r="L621" s="14"/>
      <c r="M621"/>
      <c r="N621"/>
      <c r="O621"/>
      <c r="P621"/>
    </row>
    <row r="622" spans="1:16" x14ac:dyDescent="0.25">
      <c r="A622"/>
      <c r="B622"/>
      <c r="C622"/>
      <c r="D622"/>
      <c r="E622"/>
      <c r="F622"/>
      <c r="G622"/>
      <c r="H622"/>
      <c r="I622"/>
      <c r="J622"/>
      <c r="K622"/>
      <c r="L622" s="14"/>
      <c r="M622"/>
      <c r="N622"/>
      <c r="O622"/>
      <c r="P622"/>
    </row>
    <row r="623" spans="1:16" x14ac:dyDescent="0.25">
      <c r="A623"/>
      <c r="B623"/>
      <c r="C623"/>
      <c r="D623"/>
      <c r="E623"/>
      <c r="F623"/>
      <c r="G623"/>
      <c r="H623"/>
      <c r="I623"/>
      <c r="J623"/>
      <c r="K623"/>
      <c r="L623" s="14"/>
      <c r="M623"/>
      <c r="N623"/>
      <c r="O623"/>
      <c r="P623"/>
    </row>
    <row r="624" spans="1:16" x14ac:dyDescent="0.25">
      <c r="A624"/>
      <c r="B624"/>
      <c r="C624"/>
      <c r="D624"/>
      <c r="E624"/>
      <c r="F624"/>
      <c r="G624"/>
      <c r="H624"/>
      <c r="I624"/>
      <c r="J624"/>
      <c r="K624"/>
      <c r="L624" s="14"/>
      <c r="M624"/>
      <c r="N624"/>
      <c r="O624"/>
      <c r="P624"/>
    </row>
    <row r="625" spans="1:16" x14ac:dyDescent="0.25">
      <c r="A625"/>
      <c r="B625"/>
      <c r="C625"/>
      <c r="D625"/>
      <c r="E625"/>
      <c r="F625"/>
      <c r="G625"/>
      <c r="H625"/>
      <c r="I625"/>
      <c r="J625"/>
      <c r="K625"/>
      <c r="L625" s="14"/>
      <c r="M625"/>
      <c r="N625"/>
      <c r="O625"/>
      <c r="P625"/>
    </row>
    <row r="626" spans="1:16" x14ac:dyDescent="0.25">
      <c r="A626"/>
      <c r="B626"/>
      <c r="C626"/>
      <c r="D626"/>
      <c r="E626"/>
      <c r="F626"/>
      <c r="G626"/>
      <c r="H626"/>
      <c r="I626"/>
      <c r="J626"/>
      <c r="K626"/>
      <c r="L626" s="14"/>
      <c r="M626"/>
      <c r="N626"/>
      <c r="O626"/>
      <c r="P626"/>
    </row>
    <row r="627" spans="1:16" x14ac:dyDescent="0.25">
      <c r="A627"/>
      <c r="B627"/>
      <c r="C627"/>
      <c r="D627"/>
      <c r="E627"/>
      <c r="F627"/>
      <c r="G627"/>
      <c r="H627"/>
      <c r="I627"/>
      <c r="J627"/>
      <c r="K627"/>
      <c r="L627" s="14"/>
      <c r="M627"/>
      <c r="N627"/>
      <c r="O627"/>
      <c r="P627"/>
    </row>
    <row r="628" spans="1:16" x14ac:dyDescent="0.25">
      <c r="A628"/>
      <c r="B628"/>
      <c r="C628"/>
      <c r="D628"/>
      <c r="E628"/>
      <c r="F628"/>
      <c r="G628"/>
      <c r="H628"/>
      <c r="I628"/>
      <c r="J628"/>
      <c r="K628"/>
      <c r="L628" s="14"/>
      <c r="M628"/>
      <c r="N628"/>
      <c r="O628"/>
      <c r="P628"/>
    </row>
    <row r="629" spans="1:16" x14ac:dyDescent="0.25">
      <c r="A629"/>
      <c r="B629"/>
      <c r="C629"/>
      <c r="D629"/>
      <c r="E629"/>
      <c r="F629"/>
      <c r="G629"/>
      <c r="H629"/>
      <c r="I629"/>
      <c r="J629"/>
      <c r="K629"/>
      <c r="L629" s="14"/>
      <c r="M629"/>
      <c r="N629"/>
      <c r="O629"/>
      <c r="P629"/>
    </row>
    <row r="630" spans="1:16" x14ac:dyDescent="0.25">
      <c r="A630"/>
      <c r="B630"/>
      <c r="C630"/>
      <c r="D630"/>
      <c r="E630"/>
      <c r="F630"/>
      <c r="G630"/>
      <c r="H630"/>
      <c r="I630"/>
      <c r="J630"/>
      <c r="K630"/>
      <c r="L630" s="14"/>
      <c r="M630"/>
      <c r="N630"/>
      <c r="O630"/>
      <c r="P630"/>
    </row>
    <row r="631" spans="1:16" x14ac:dyDescent="0.25">
      <c r="A631"/>
      <c r="B631"/>
      <c r="C631"/>
      <c r="D631"/>
      <c r="E631"/>
      <c r="F631"/>
      <c r="G631"/>
      <c r="H631"/>
      <c r="I631"/>
      <c r="J631"/>
      <c r="K631"/>
      <c r="L631" s="14"/>
      <c r="M631"/>
      <c r="N631"/>
      <c r="O631"/>
      <c r="P631"/>
    </row>
    <row r="632" spans="1:16" x14ac:dyDescent="0.25">
      <c r="A632"/>
      <c r="B632"/>
      <c r="C632"/>
      <c r="D632"/>
      <c r="E632"/>
      <c r="F632"/>
      <c r="G632"/>
      <c r="H632"/>
      <c r="I632"/>
      <c r="J632"/>
      <c r="K632"/>
      <c r="L632" s="14"/>
      <c r="M632"/>
      <c r="N632"/>
      <c r="O632"/>
      <c r="P632"/>
    </row>
    <row r="633" spans="1:16" x14ac:dyDescent="0.25">
      <c r="A633"/>
      <c r="B633"/>
      <c r="C633"/>
      <c r="D633"/>
      <c r="E633"/>
      <c r="F633"/>
      <c r="G633"/>
      <c r="H633"/>
      <c r="I633"/>
      <c r="J633"/>
      <c r="K633"/>
      <c r="L633" s="14"/>
      <c r="M633"/>
      <c r="N633"/>
      <c r="O633"/>
      <c r="P633"/>
    </row>
    <row r="634" spans="1:16" x14ac:dyDescent="0.25">
      <c r="A634"/>
      <c r="B634"/>
      <c r="C634"/>
      <c r="D634"/>
      <c r="E634"/>
      <c r="F634"/>
      <c r="G634"/>
      <c r="H634"/>
      <c r="I634"/>
      <c r="J634"/>
      <c r="K634"/>
      <c r="L634" s="14"/>
      <c r="M634"/>
      <c r="N634"/>
      <c r="O634"/>
      <c r="P634"/>
    </row>
    <row r="635" spans="1:16" x14ac:dyDescent="0.25">
      <c r="A635"/>
      <c r="B635"/>
      <c r="C635"/>
      <c r="D635"/>
      <c r="E635"/>
      <c r="F635"/>
      <c r="G635"/>
      <c r="H635"/>
      <c r="I635"/>
      <c r="J635"/>
      <c r="K635"/>
      <c r="L635" s="14"/>
      <c r="M635"/>
      <c r="N635"/>
      <c r="O635"/>
      <c r="P635"/>
    </row>
    <row r="636" spans="1:16" x14ac:dyDescent="0.25">
      <c r="A636"/>
      <c r="B636"/>
      <c r="C636"/>
      <c r="D636"/>
      <c r="E636"/>
      <c r="F636"/>
      <c r="G636"/>
      <c r="H636"/>
      <c r="I636"/>
      <c r="J636"/>
      <c r="K636"/>
      <c r="L636" s="14"/>
      <c r="M636"/>
      <c r="N636"/>
      <c r="O636"/>
      <c r="P636"/>
    </row>
    <row r="637" spans="1:16" x14ac:dyDescent="0.25">
      <c r="A637"/>
      <c r="B637"/>
      <c r="C637"/>
      <c r="D637"/>
      <c r="E637"/>
      <c r="F637"/>
      <c r="G637"/>
      <c r="H637"/>
      <c r="I637"/>
      <c r="J637"/>
      <c r="K637"/>
      <c r="L637" s="14"/>
      <c r="M637"/>
      <c r="N637"/>
      <c r="O637"/>
      <c r="P637"/>
    </row>
    <row r="638" spans="1:16" x14ac:dyDescent="0.25">
      <c r="A638"/>
      <c r="B638"/>
      <c r="C638"/>
      <c r="D638"/>
      <c r="E638"/>
      <c r="F638"/>
      <c r="G638"/>
      <c r="H638"/>
      <c r="I638"/>
      <c r="J638"/>
      <c r="K638"/>
      <c r="L638" s="14"/>
      <c r="M638"/>
      <c r="N638"/>
      <c r="O638"/>
      <c r="P638"/>
    </row>
    <row r="639" spans="1:16" x14ac:dyDescent="0.25">
      <c r="A639"/>
      <c r="B639"/>
      <c r="C639"/>
      <c r="D639"/>
      <c r="E639"/>
      <c r="F639"/>
      <c r="G639"/>
      <c r="H639"/>
      <c r="I639"/>
      <c r="J639"/>
      <c r="K639"/>
      <c r="L639" s="14"/>
      <c r="M639"/>
      <c r="N639"/>
      <c r="O639"/>
      <c r="P639"/>
    </row>
    <row r="640" spans="1:16" x14ac:dyDescent="0.25">
      <c r="A640"/>
      <c r="B640"/>
      <c r="C640"/>
      <c r="D640"/>
      <c r="E640"/>
      <c r="F640"/>
      <c r="G640"/>
      <c r="H640"/>
      <c r="I640"/>
      <c r="J640"/>
      <c r="K640"/>
      <c r="L640" s="14"/>
      <c r="M640"/>
      <c r="N640"/>
      <c r="O640"/>
      <c r="P640"/>
    </row>
    <row r="641" spans="1:16" x14ac:dyDescent="0.25">
      <c r="A641"/>
      <c r="B641"/>
      <c r="C641"/>
      <c r="D641"/>
      <c r="E641"/>
      <c r="F641"/>
      <c r="G641"/>
      <c r="H641"/>
      <c r="I641"/>
      <c r="J641"/>
      <c r="K641"/>
      <c r="L641" s="14"/>
      <c r="M641"/>
      <c r="N641"/>
      <c r="O641"/>
      <c r="P641"/>
    </row>
    <row r="642" spans="1:16" x14ac:dyDescent="0.25">
      <c r="A642"/>
      <c r="B642"/>
      <c r="C642"/>
      <c r="D642"/>
      <c r="E642"/>
      <c r="F642"/>
      <c r="G642"/>
      <c r="H642"/>
      <c r="I642"/>
      <c r="J642"/>
      <c r="K642"/>
      <c r="L642" s="14"/>
      <c r="M642"/>
      <c r="N642"/>
      <c r="O642"/>
      <c r="P642"/>
    </row>
    <row r="643" spans="1:16" x14ac:dyDescent="0.25">
      <c r="A643"/>
      <c r="B643"/>
      <c r="C643"/>
      <c r="D643"/>
      <c r="E643"/>
      <c r="F643"/>
      <c r="G643"/>
      <c r="H643"/>
      <c r="I643"/>
      <c r="J643"/>
      <c r="K643"/>
      <c r="L643" s="14"/>
      <c r="M643"/>
      <c r="N643"/>
      <c r="O643"/>
      <c r="P643"/>
    </row>
    <row r="644" spans="1:16" x14ac:dyDescent="0.25">
      <c r="A644"/>
      <c r="B644"/>
      <c r="C644"/>
      <c r="D644"/>
      <c r="E644"/>
      <c r="F644"/>
      <c r="G644"/>
      <c r="H644"/>
      <c r="I644"/>
      <c r="J644"/>
      <c r="K644"/>
      <c r="L644" s="14"/>
      <c r="M644"/>
      <c r="N644"/>
      <c r="O644"/>
      <c r="P644"/>
    </row>
    <row r="645" spans="1:16" x14ac:dyDescent="0.25">
      <c r="A645"/>
      <c r="B645"/>
      <c r="C645"/>
      <c r="D645"/>
      <c r="E645"/>
      <c r="F645"/>
      <c r="G645"/>
      <c r="H645"/>
      <c r="I645"/>
      <c r="J645"/>
      <c r="K645"/>
      <c r="L645" s="14"/>
      <c r="M645"/>
      <c r="N645"/>
      <c r="O645"/>
      <c r="P645"/>
    </row>
    <row r="646" spans="1:16" x14ac:dyDescent="0.25">
      <c r="A646"/>
      <c r="B646"/>
      <c r="C646"/>
      <c r="D646"/>
      <c r="E646"/>
      <c r="F646"/>
      <c r="G646"/>
      <c r="H646"/>
      <c r="I646"/>
      <c r="J646"/>
      <c r="K646"/>
      <c r="L646" s="14"/>
      <c r="M646"/>
      <c r="N646"/>
      <c r="O646"/>
      <c r="P646"/>
    </row>
    <row r="647" spans="1:16" x14ac:dyDescent="0.25">
      <c r="A647"/>
      <c r="B647"/>
      <c r="C647"/>
      <c r="D647"/>
      <c r="E647"/>
      <c r="F647"/>
      <c r="G647"/>
      <c r="H647"/>
      <c r="I647"/>
      <c r="J647"/>
      <c r="K647"/>
      <c r="L647" s="14"/>
      <c r="M647"/>
      <c r="N647"/>
      <c r="O647"/>
      <c r="P647"/>
    </row>
    <row r="648" spans="1:16" x14ac:dyDescent="0.25">
      <c r="A648"/>
      <c r="B648"/>
      <c r="C648"/>
      <c r="D648"/>
      <c r="E648"/>
      <c r="F648"/>
      <c r="G648"/>
      <c r="H648"/>
      <c r="I648"/>
      <c r="J648"/>
      <c r="K648"/>
      <c r="L648" s="14"/>
      <c r="M648"/>
      <c r="N648"/>
      <c r="O648"/>
      <c r="P648"/>
    </row>
    <row r="649" spans="1:16" x14ac:dyDescent="0.25">
      <c r="A649"/>
      <c r="B649"/>
      <c r="C649"/>
      <c r="D649"/>
      <c r="E649"/>
      <c r="F649"/>
      <c r="G649"/>
      <c r="H649"/>
      <c r="I649"/>
      <c r="J649"/>
      <c r="K649"/>
      <c r="L649" s="14"/>
      <c r="M649"/>
      <c r="N649"/>
      <c r="O649"/>
      <c r="P649"/>
    </row>
    <row r="650" spans="1:16" x14ac:dyDescent="0.25">
      <c r="A650"/>
      <c r="B650"/>
      <c r="C650"/>
      <c r="D650"/>
      <c r="E650"/>
      <c r="F650"/>
      <c r="G650"/>
      <c r="H650"/>
      <c r="I650"/>
      <c r="J650"/>
      <c r="K650"/>
      <c r="L650" s="14"/>
      <c r="M650"/>
      <c r="N650"/>
      <c r="O650"/>
      <c r="P650"/>
    </row>
    <row r="651" spans="1:16" x14ac:dyDescent="0.25">
      <c r="A651"/>
      <c r="B651"/>
      <c r="C651"/>
      <c r="D651"/>
      <c r="E651"/>
      <c r="F651"/>
      <c r="G651"/>
      <c r="H651"/>
      <c r="I651"/>
      <c r="J651"/>
      <c r="K651"/>
      <c r="L651" s="14"/>
      <c r="M651"/>
      <c r="N651"/>
      <c r="O651"/>
      <c r="P651"/>
    </row>
    <row r="652" spans="1:16" x14ac:dyDescent="0.25">
      <c r="A652"/>
      <c r="B652"/>
      <c r="C652"/>
      <c r="D652"/>
      <c r="E652"/>
      <c r="F652"/>
      <c r="G652"/>
      <c r="H652"/>
      <c r="I652"/>
      <c r="J652"/>
      <c r="K652"/>
      <c r="L652" s="14"/>
      <c r="M652"/>
      <c r="N652"/>
      <c r="O652"/>
      <c r="P652"/>
    </row>
    <row r="653" spans="1:16" x14ac:dyDescent="0.25">
      <c r="A653"/>
      <c r="B653"/>
      <c r="C653"/>
      <c r="D653"/>
      <c r="E653"/>
      <c r="F653"/>
      <c r="G653"/>
      <c r="H653"/>
      <c r="I653"/>
      <c r="J653"/>
      <c r="K653"/>
      <c r="L653" s="14"/>
      <c r="M653"/>
      <c r="N653"/>
      <c r="O653"/>
      <c r="P653"/>
    </row>
    <row r="654" spans="1:16" x14ac:dyDescent="0.25">
      <c r="A654"/>
      <c r="B654"/>
      <c r="C654"/>
      <c r="D654"/>
      <c r="E654"/>
      <c r="F654"/>
      <c r="G654"/>
      <c r="H654"/>
      <c r="I654"/>
      <c r="J654"/>
      <c r="K654"/>
      <c r="L654" s="14"/>
      <c r="M654"/>
      <c r="N654"/>
      <c r="O654"/>
      <c r="P654"/>
    </row>
    <row r="655" spans="1:16" x14ac:dyDescent="0.25">
      <c r="A655"/>
      <c r="B655"/>
      <c r="C655"/>
      <c r="D655"/>
      <c r="E655"/>
      <c r="F655"/>
      <c r="G655"/>
      <c r="H655"/>
      <c r="I655"/>
      <c r="J655"/>
      <c r="K655"/>
      <c r="L655" s="14"/>
      <c r="M655"/>
      <c r="N655"/>
      <c r="O655"/>
      <c r="P655"/>
    </row>
    <row r="656" spans="1:16" x14ac:dyDescent="0.25">
      <c r="A656"/>
      <c r="B656"/>
      <c r="C656"/>
      <c r="D656"/>
      <c r="E656"/>
      <c r="F656"/>
      <c r="G656"/>
      <c r="H656"/>
      <c r="I656"/>
      <c r="J656"/>
      <c r="K656"/>
      <c r="L656" s="14"/>
      <c r="M656"/>
      <c r="N656"/>
      <c r="O656"/>
      <c r="P656"/>
    </row>
    <row r="657" spans="1:16" x14ac:dyDescent="0.25">
      <c r="A657"/>
      <c r="B657"/>
      <c r="C657"/>
      <c r="D657"/>
      <c r="E657"/>
      <c r="F657"/>
      <c r="G657"/>
      <c r="H657"/>
      <c r="I657"/>
      <c r="J657"/>
      <c r="K657"/>
      <c r="L657" s="14"/>
      <c r="M657"/>
      <c r="N657"/>
      <c r="O657"/>
      <c r="P657"/>
    </row>
    <row r="658" spans="1:16" x14ac:dyDescent="0.25">
      <c r="A658"/>
      <c r="B658"/>
      <c r="C658"/>
      <c r="D658"/>
      <c r="E658"/>
      <c r="F658"/>
      <c r="G658"/>
      <c r="H658"/>
      <c r="I658"/>
      <c r="J658"/>
      <c r="K658"/>
      <c r="L658" s="14"/>
      <c r="M658"/>
      <c r="N658"/>
      <c r="O658"/>
      <c r="P658"/>
    </row>
    <row r="659" spans="1:16" x14ac:dyDescent="0.25">
      <c r="A659"/>
      <c r="B659"/>
      <c r="C659"/>
      <c r="D659"/>
      <c r="E659"/>
      <c r="F659"/>
      <c r="G659"/>
      <c r="H659"/>
      <c r="I659"/>
      <c r="J659"/>
      <c r="K659"/>
      <c r="L659" s="14"/>
      <c r="M659"/>
      <c r="N659"/>
      <c r="O659"/>
      <c r="P659"/>
    </row>
    <row r="660" spans="1:16" x14ac:dyDescent="0.25">
      <c r="A660"/>
      <c r="B660"/>
      <c r="C660"/>
      <c r="D660"/>
      <c r="E660"/>
      <c r="F660"/>
      <c r="G660"/>
      <c r="H660"/>
      <c r="I660"/>
      <c r="J660"/>
      <c r="K660"/>
      <c r="L660" s="14"/>
      <c r="M660"/>
      <c r="N660"/>
      <c r="O660"/>
      <c r="P660"/>
    </row>
    <row r="661" spans="1:16" x14ac:dyDescent="0.25">
      <c r="A661"/>
      <c r="B661"/>
      <c r="C661"/>
      <c r="D661"/>
      <c r="E661"/>
      <c r="F661"/>
      <c r="G661"/>
      <c r="H661"/>
      <c r="I661"/>
      <c r="J661"/>
      <c r="K661"/>
      <c r="L661" s="14"/>
      <c r="M661"/>
      <c r="N661"/>
      <c r="O661"/>
      <c r="P661"/>
    </row>
    <row r="662" spans="1:16" x14ac:dyDescent="0.25">
      <c r="A662"/>
      <c r="B662"/>
      <c r="C662"/>
      <c r="D662"/>
      <c r="E662"/>
      <c r="F662"/>
      <c r="G662"/>
      <c r="H662"/>
      <c r="I662"/>
      <c r="J662"/>
      <c r="K662"/>
      <c r="L662" s="14"/>
      <c r="M662"/>
      <c r="N662"/>
      <c r="O662"/>
      <c r="P662"/>
    </row>
    <row r="663" spans="1:16" x14ac:dyDescent="0.25">
      <c r="A663"/>
      <c r="B663"/>
      <c r="C663"/>
      <c r="D663"/>
      <c r="E663"/>
      <c r="F663"/>
      <c r="G663"/>
      <c r="H663"/>
      <c r="I663"/>
      <c r="J663"/>
      <c r="K663"/>
      <c r="L663" s="14"/>
      <c r="M663"/>
      <c r="N663"/>
      <c r="O663"/>
      <c r="P663"/>
    </row>
    <row r="664" spans="1:16" x14ac:dyDescent="0.25">
      <c r="A664"/>
      <c r="B664"/>
      <c r="C664"/>
      <c r="D664"/>
      <c r="E664"/>
      <c r="F664"/>
      <c r="G664"/>
      <c r="H664"/>
      <c r="I664"/>
      <c r="J664"/>
      <c r="K664"/>
      <c r="L664" s="14"/>
      <c r="M664"/>
      <c r="N664"/>
      <c r="O664"/>
      <c r="P664"/>
    </row>
    <row r="665" spans="1:16" x14ac:dyDescent="0.25">
      <c r="A665"/>
      <c r="B665"/>
      <c r="C665"/>
      <c r="D665"/>
      <c r="E665"/>
      <c r="F665"/>
      <c r="G665"/>
      <c r="H665"/>
      <c r="I665"/>
      <c r="J665"/>
      <c r="K665"/>
      <c r="L665" s="14"/>
      <c r="M665"/>
      <c r="N665"/>
      <c r="O665"/>
      <c r="P665"/>
    </row>
    <row r="666" spans="1:16" x14ac:dyDescent="0.25">
      <c r="A666"/>
      <c r="B666"/>
      <c r="C666"/>
      <c r="D666"/>
      <c r="E666"/>
      <c r="F666"/>
      <c r="G666"/>
      <c r="H666"/>
      <c r="I666"/>
      <c r="J666"/>
      <c r="K666"/>
      <c r="L666" s="14"/>
      <c r="M666"/>
      <c r="N666"/>
      <c r="O666"/>
      <c r="P666"/>
    </row>
    <row r="667" spans="1:16" x14ac:dyDescent="0.25">
      <c r="A667"/>
      <c r="B667"/>
      <c r="C667"/>
      <c r="D667"/>
      <c r="E667"/>
      <c r="F667"/>
      <c r="G667"/>
      <c r="H667"/>
      <c r="I667"/>
      <c r="J667"/>
      <c r="K667"/>
      <c r="L667" s="14"/>
      <c r="M667"/>
      <c r="N667"/>
      <c r="O667"/>
      <c r="P667"/>
    </row>
    <row r="668" spans="1:16" x14ac:dyDescent="0.25">
      <c r="A668"/>
      <c r="B668"/>
      <c r="C668"/>
      <c r="D668"/>
      <c r="E668"/>
      <c r="F668"/>
      <c r="G668"/>
      <c r="H668"/>
      <c r="I668"/>
      <c r="J668"/>
      <c r="K668"/>
      <c r="L668" s="14"/>
      <c r="M668"/>
      <c r="N668"/>
      <c r="O668"/>
      <c r="P668"/>
    </row>
    <row r="669" spans="1:16" x14ac:dyDescent="0.25">
      <c r="A669"/>
      <c r="B669"/>
      <c r="C669"/>
      <c r="D669"/>
      <c r="E669"/>
      <c r="F669"/>
      <c r="G669"/>
      <c r="H669"/>
      <c r="I669"/>
      <c r="J669"/>
      <c r="K669"/>
      <c r="L669" s="14"/>
      <c r="M669"/>
      <c r="N669"/>
      <c r="O669"/>
      <c r="P669"/>
    </row>
    <row r="670" spans="1:16" x14ac:dyDescent="0.25">
      <c r="A670"/>
      <c r="B670"/>
      <c r="C670"/>
      <c r="D670"/>
      <c r="E670"/>
      <c r="F670"/>
      <c r="G670"/>
      <c r="H670"/>
      <c r="I670"/>
      <c r="J670"/>
      <c r="K670"/>
      <c r="L670" s="14"/>
      <c r="M670"/>
      <c r="N670"/>
      <c r="O670"/>
      <c r="P670"/>
    </row>
    <row r="671" spans="1:16" x14ac:dyDescent="0.25">
      <c r="A671"/>
      <c r="B671"/>
      <c r="C671"/>
      <c r="D671"/>
      <c r="E671"/>
      <c r="F671"/>
      <c r="G671"/>
      <c r="H671"/>
      <c r="I671"/>
      <c r="J671"/>
      <c r="K671"/>
      <c r="L671" s="14"/>
      <c r="M671"/>
      <c r="N671"/>
      <c r="O671"/>
      <c r="P671"/>
    </row>
    <row r="672" spans="1:16" x14ac:dyDescent="0.25">
      <c r="A672"/>
      <c r="B672"/>
      <c r="C672"/>
      <c r="D672"/>
      <c r="E672"/>
      <c r="F672"/>
      <c r="G672"/>
      <c r="H672"/>
      <c r="I672"/>
      <c r="J672"/>
      <c r="K672"/>
      <c r="L672" s="14"/>
      <c r="M672"/>
      <c r="N672"/>
      <c r="O672"/>
      <c r="P672"/>
    </row>
    <row r="673" spans="1:16" x14ac:dyDescent="0.25">
      <c r="A673"/>
      <c r="B673"/>
      <c r="C673"/>
      <c r="D673"/>
      <c r="E673"/>
      <c r="F673"/>
      <c r="G673"/>
      <c r="H673"/>
      <c r="I673"/>
      <c r="J673"/>
      <c r="K673"/>
      <c r="L673" s="14"/>
      <c r="M673"/>
      <c r="N673"/>
      <c r="O673"/>
      <c r="P673"/>
    </row>
    <row r="674" spans="1:16" x14ac:dyDescent="0.25">
      <c r="A674"/>
      <c r="B674"/>
      <c r="C674"/>
      <c r="D674"/>
      <c r="E674"/>
      <c r="F674"/>
      <c r="G674"/>
      <c r="H674"/>
      <c r="I674"/>
      <c r="J674"/>
      <c r="K674"/>
      <c r="L674" s="14"/>
      <c r="M674"/>
      <c r="N674"/>
      <c r="O674"/>
      <c r="P674"/>
    </row>
    <row r="675" spans="1:16" x14ac:dyDescent="0.25">
      <c r="A675"/>
      <c r="B675"/>
      <c r="C675"/>
      <c r="D675"/>
      <c r="E675"/>
      <c r="F675"/>
      <c r="G675"/>
      <c r="H675"/>
      <c r="I675"/>
      <c r="J675"/>
      <c r="K675"/>
      <c r="L675" s="14"/>
      <c r="M675"/>
      <c r="N675"/>
      <c r="O675"/>
      <c r="P675"/>
    </row>
    <row r="676" spans="1:16" x14ac:dyDescent="0.25">
      <c r="A676"/>
      <c r="B676"/>
      <c r="C676"/>
      <c r="D676"/>
      <c r="E676"/>
      <c r="F676"/>
      <c r="G676"/>
      <c r="H676"/>
      <c r="I676"/>
      <c r="J676"/>
      <c r="K676"/>
      <c r="L676" s="14"/>
      <c r="M676"/>
      <c r="N676"/>
      <c r="O676"/>
      <c r="P676"/>
    </row>
    <row r="677" spans="1:16" x14ac:dyDescent="0.25">
      <c r="A677"/>
      <c r="B677"/>
      <c r="C677"/>
      <c r="D677"/>
      <c r="E677"/>
      <c r="F677"/>
      <c r="G677"/>
      <c r="H677"/>
      <c r="I677"/>
      <c r="J677"/>
      <c r="K677"/>
      <c r="L677" s="14"/>
      <c r="M677"/>
      <c r="N677"/>
      <c r="O677"/>
      <c r="P677"/>
    </row>
    <row r="678" spans="1:16" x14ac:dyDescent="0.25">
      <c r="A678"/>
      <c r="B678"/>
      <c r="C678"/>
      <c r="D678"/>
      <c r="E678"/>
      <c r="F678"/>
      <c r="G678"/>
      <c r="H678"/>
      <c r="I678"/>
      <c r="J678"/>
      <c r="K678"/>
      <c r="L678" s="14"/>
      <c r="M678"/>
      <c r="N678"/>
      <c r="O678"/>
      <c r="P678"/>
    </row>
    <row r="679" spans="1:16" x14ac:dyDescent="0.25">
      <c r="A679"/>
      <c r="B679"/>
      <c r="C679"/>
      <c r="D679"/>
      <c r="E679"/>
      <c r="F679"/>
      <c r="G679"/>
      <c r="H679"/>
      <c r="I679"/>
      <c r="J679"/>
      <c r="K679"/>
      <c r="L679" s="14"/>
      <c r="M679"/>
      <c r="N679"/>
      <c r="O679"/>
      <c r="P679"/>
    </row>
    <row r="680" spans="1:16" x14ac:dyDescent="0.25">
      <c r="A680"/>
      <c r="B680"/>
      <c r="C680"/>
      <c r="D680"/>
      <c r="E680"/>
      <c r="F680"/>
      <c r="G680"/>
      <c r="H680"/>
      <c r="I680"/>
      <c r="J680"/>
      <c r="K680"/>
      <c r="L680" s="14"/>
      <c r="M680"/>
      <c r="N680"/>
      <c r="O680"/>
      <c r="P680"/>
    </row>
    <row r="681" spans="1:16" x14ac:dyDescent="0.25">
      <c r="A681"/>
      <c r="B681"/>
      <c r="C681"/>
      <c r="D681"/>
      <c r="E681"/>
      <c r="F681"/>
      <c r="G681"/>
      <c r="H681"/>
      <c r="I681"/>
      <c r="J681"/>
      <c r="K681"/>
      <c r="L681" s="14"/>
      <c r="M681"/>
      <c r="N681"/>
      <c r="O681"/>
      <c r="P681"/>
    </row>
    <row r="682" spans="1:16" x14ac:dyDescent="0.25">
      <c r="A682"/>
      <c r="B682"/>
      <c r="C682"/>
      <c r="D682"/>
      <c r="E682"/>
      <c r="F682"/>
      <c r="G682"/>
      <c r="H682"/>
      <c r="I682"/>
      <c r="J682"/>
      <c r="K682"/>
      <c r="L682" s="14"/>
      <c r="M682"/>
      <c r="N682"/>
      <c r="O682"/>
      <c r="P682"/>
    </row>
    <row r="683" spans="1:16" x14ac:dyDescent="0.25">
      <c r="A683"/>
      <c r="B683"/>
      <c r="C683"/>
      <c r="D683"/>
      <c r="E683"/>
      <c r="F683"/>
      <c r="G683"/>
      <c r="H683"/>
      <c r="I683"/>
      <c r="J683"/>
      <c r="K683"/>
      <c r="L683" s="14"/>
      <c r="M683"/>
      <c r="N683"/>
      <c r="O683"/>
      <c r="P683"/>
    </row>
    <row r="684" spans="1:16" x14ac:dyDescent="0.25">
      <c r="A684"/>
      <c r="B684"/>
      <c r="C684"/>
      <c r="D684"/>
      <c r="E684"/>
      <c r="F684"/>
      <c r="G684"/>
      <c r="H684"/>
      <c r="I684"/>
      <c r="J684"/>
      <c r="K684"/>
      <c r="L684" s="14"/>
      <c r="M684"/>
      <c r="N684"/>
      <c r="O684"/>
      <c r="P684"/>
    </row>
    <row r="685" spans="1:16" x14ac:dyDescent="0.25">
      <c r="A685"/>
      <c r="B685"/>
      <c r="C685"/>
      <c r="D685"/>
      <c r="E685"/>
      <c r="F685"/>
      <c r="G685"/>
      <c r="H685"/>
      <c r="I685"/>
      <c r="J685"/>
      <c r="K685"/>
      <c r="L685" s="14"/>
      <c r="M685"/>
      <c r="N685"/>
      <c r="O685"/>
      <c r="P685"/>
    </row>
    <row r="686" spans="1:16" x14ac:dyDescent="0.25">
      <c r="A686"/>
      <c r="B686"/>
      <c r="C686"/>
      <c r="D686"/>
      <c r="E686"/>
      <c r="F686"/>
      <c r="G686"/>
      <c r="H686"/>
      <c r="I686"/>
      <c r="J686"/>
      <c r="K686"/>
      <c r="L686" s="14"/>
      <c r="M686"/>
      <c r="N686"/>
      <c r="O686"/>
      <c r="P686"/>
    </row>
    <row r="687" spans="1:16" x14ac:dyDescent="0.25">
      <c r="A687"/>
      <c r="B687"/>
      <c r="C687"/>
      <c r="D687"/>
      <c r="E687"/>
      <c r="F687"/>
      <c r="G687"/>
      <c r="H687"/>
      <c r="I687"/>
      <c r="J687"/>
      <c r="K687"/>
      <c r="L687" s="14"/>
      <c r="M687"/>
      <c r="N687"/>
      <c r="O687"/>
      <c r="P687"/>
    </row>
    <row r="688" spans="1:16" x14ac:dyDescent="0.25">
      <c r="A688"/>
      <c r="B688"/>
      <c r="C688"/>
      <c r="D688"/>
      <c r="E688"/>
      <c r="F688"/>
      <c r="G688"/>
      <c r="H688"/>
      <c r="I688"/>
      <c r="J688"/>
      <c r="K688"/>
      <c r="L688" s="14"/>
      <c r="M688"/>
      <c r="N688"/>
      <c r="O688"/>
      <c r="P688"/>
    </row>
    <row r="689" spans="1:16" x14ac:dyDescent="0.25">
      <c r="A689"/>
      <c r="B689"/>
      <c r="C689"/>
      <c r="D689"/>
      <c r="E689"/>
      <c r="F689"/>
      <c r="G689"/>
      <c r="H689"/>
      <c r="I689"/>
      <c r="J689"/>
      <c r="K689"/>
      <c r="L689" s="14"/>
      <c r="M689"/>
      <c r="N689"/>
      <c r="O689"/>
      <c r="P689"/>
    </row>
    <row r="690" spans="1:16" x14ac:dyDescent="0.25">
      <c r="A690"/>
      <c r="B690"/>
      <c r="C690"/>
      <c r="D690"/>
      <c r="E690"/>
      <c r="F690"/>
      <c r="G690"/>
      <c r="H690"/>
      <c r="I690"/>
      <c r="J690"/>
      <c r="K690"/>
      <c r="L690" s="14"/>
      <c r="M690"/>
      <c r="N690"/>
      <c r="O690"/>
      <c r="P690"/>
    </row>
    <row r="691" spans="1:16" x14ac:dyDescent="0.25">
      <c r="A691"/>
      <c r="B691"/>
      <c r="C691"/>
      <c r="D691"/>
      <c r="E691"/>
      <c r="F691"/>
      <c r="G691"/>
      <c r="H691"/>
      <c r="I691"/>
      <c r="J691"/>
      <c r="K691"/>
      <c r="L691" s="14"/>
      <c r="M691"/>
      <c r="N691"/>
      <c r="O691"/>
      <c r="P691"/>
    </row>
    <row r="692" spans="1:16" x14ac:dyDescent="0.25">
      <c r="A692"/>
      <c r="B692"/>
      <c r="C692"/>
      <c r="D692"/>
      <c r="E692"/>
      <c r="F692"/>
      <c r="G692"/>
      <c r="H692"/>
      <c r="I692"/>
      <c r="J692"/>
      <c r="K692"/>
      <c r="L692" s="14"/>
      <c r="M692"/>
      <c r="N692"/>
      <c r="O692"/>
      <c r="P692"/>
    </row>
    <row r="693" spans="1:16" x14ac:dyDescent="0.25">
      <c r="A693"/>
      <c r="B693"/>
      <c r="C693"/>
      <c r="D693"/>
      <c r="E693"/>
      <c r="F693"/>
      <c r="G693"/>
      <c r="H693"/>
      <c r="I693"/>
      <c r="J693"/>
      <c r="K693"/>
      <c r="L693" s="14"/>
      <c r="M693"/>
      <c r="N693"/>
      <c r="O693"/>
      <c r="P693"/>
    </row>
    <row r="694" spans="1:16" x14ac:dyDescent="0.25">
      <c r="A694"/>
      <c r="B694"/>
      <c r="C694"/>
      <c r="D694"/>
      <c r="E694"/>
      <c r="F694"/>
      <c r="G694"/>
      <c r="H694"/>
      <c r="I694"/>
      <c r="J694"/>
      <c r="K694"/>
      <c r="L694" s="14"/>
      <c r="M694"/>
      <c r="N694"/>
      <c r="O694"/>
      <c r="P694"/>
    </row>
    <row r="695" spans="1:16" x14ac:dyDescent="0.25">
      <c r="A695"/>
      <c r="B695"/>
      <c r="C695"/>
      <c r="D695"/>
      <c r="E695"/>
      <c r="F695"/>
      <c r="G695"/>
      <c r="H695"/>
      <c r="I695"/>
      <c r="J695"/>
      <c r="K695"/>
      <c r="L695" s="14"/>
      <c r="M695"/>
      <c r="N695"/>
      <c r="O695"/>
      <c r="P695"/>
    </row>
    <row r="696" spans="1:16" x14ac:dyDescent="0.25">
      <c r="A696"/>
      <c r="B696"/>
      <c r="C696"/>
      <c r="D696"/>
      <c r="E696"/>
      <c r="F696"/>
      <c r="G696"/>
      <c r="H696"/>
      <c r="I696"/>
      <c r="J696"/>
      <c r="K696"/>
      <c r="L696" s="14"/>
      <c r="M696"/>
      <c r="N696"/>
      <c r="O696"/>
      <c r="P696"/>
    </row>
    <row r="697" spans="1:16" x14ac:dyDescent="0.25">
      <c r="A697"/>
      <c r="B697"/>
      <c r="C697"/>
      <c r="D697"/>
      <c r="E697"/>
      <c r="F697"/>
      <c r="G697"/>
      <c r="H697"/>
      <c r="I697"/>
      <c r="J697"/>
      <c r="K697"/>
      <c r="L697" s="14"/>
      <c r="M697"/>
      <c r="N697"/>
      <c r="O697"/>
      <c r="P697"/>
    </row>
    <row r="698" spans="1:16" x14ac:dyDescent="0.25">
      <c r="A698"/>
      <c r="B698"/>
      <c r="C698"/>
      <c r="D698"/>
      <c r="E698"/>
      <c r="F698"/>
      <c r="G698"/>
      <c r="H698"/>
      <c r="I698"/>
      <c r="J698"/>
      <c r="K698"/>
      <c r="L698" s="14"/>
      <c r="M698"/>
      <c r="N698"/>
      <c r="O698"/>
      <c r="P698"/>
    </row>
    <row r="699" spans="1:16" x14ac:dyDescent="0.25">
      <c r="A699"/>
      <c r="B699"/>
      <c r="C699"/>
      <c r="D699"/>
      <c r="E699"/>
      <c r="F699"/>
      <c r="G699"/>
      <c r="H699"/>
      <c r="I699"/>
      <c r="J699"/>
      <c r="K699"/>
      <c r="L699" s="14"/>
      <c r="M699"/>
      <c r="N699"/>
      <c r="O699"/>
      <c r="P699"/>
    </row>
    <row r="700" spans="1:16" x14ac:dyDescent="0.25">
      <c r="A700"/>
      <c r="B700"/>
      <c r="C700"/>
      <c r="D700"/>
      <c r="E700"/>
      <c r="F700"/>
      <c r="G700"/>
      <c r="H700"/>
      <c r="I700"/>
      <c r="J700"/>
      <c r="K700"/>
      <c r="L700" s="14"/>
      <c r="M700"/>
      <c r="N700"/>
      <c r="O700"/>
      <c r="P700"/>
    </row>
    <row r="701" spans="1:16" x14ac:dyDescent="0.25">
      <c r="A701"/>
      <c r="B701"/>
      <c r="C701"/>
      <c r="D701"/>
      <c r="E701"/>
      <c r="F701"/>
      <c r="G701"/>
      <c r="H701"/>
      <c r="I701"/>
      <c r="J701"/>
      <c r="K701"/>
      <c r="L701" s="14"/>
      <c r="M701"/>
      <c r="N701"/>
      <c r="O701"/>
      <c r="P701"/>
    </row>
    <row r="702" spans="1:16" x14ac:dyDescent="0.25">
      <c r="A702"/>
      <c r="B702"/>
      <c r="C702"/>
      <c r="D702"/>
      <c r="E702"/>
      <c r="F702"/>
      <c r="G702"/>
      <c r="H702"/>
      <c r="I702"/>
      <c r="J702"/>
      <c r="K702"/>
      <c r="L702" s="14"/>
      <c r="M702"/>
      <c r="N702"/>
      <c r="O702"/>
      <c r="P702"/>
    </row>
    <row r="703" spans="1:16" x14ac:dyDescent="0.25">
      <c r="A703"/>
      <c r="B703"/>
      <c r="C703"/>
      <c r="D703"/>
      <c r="E703"/>
      <c r="F703"/>
      <c r="G703"/>
      <c r="H703"/>
      <c r="I703"/>
      <c r="J703"/>
      <c r="K703"/>
      <c r="L703" s="14"/>
      <c r="M703"/>
      <c r="N703"/>
      <c r="O703"/>
      <c r="P703"/>
    </row>
    <row r="704" spans="1:16" x14ac:dyDescent="0.25">
      <c r="A704"/>
      <c r="B704"/>
      <c r="C704"/>
      <c r="D704"/>
      <c r="E704"/>
      <c r="F704"/>
      <c r="G704"/>
      <c r="H704"/>
      <c r="I704"/>
      <c r="J704"/>
      <c r="K704"/>
      <c r="L704" s="14"/>
      <c r="M704"/>
      <c r="N704"/>
      <c r="O704"/>
      <c r="P704"/>
    </row>
    <row r="705" spans="1:16" x14ac:dyDescent="0.25">
      <c r="A705"/>
      <c r="B705"/>
      <c r="C705"/>
      <c r="D705"/>
      <c r="E705"/>
      <c r="F705"/>
      <c r="G705"/>
      <c r="H705"/>
      <c r="I705"/>
      <c r="J705"/>
      <c r="K705"/>
      <c r="L705" s="14"/>
      <c r="M705"/>
      <c r="N705"/>
      <c r="O705"/>
      <c r="P705"/>
    </row>
    <row r="706" spans="1:16" x14ac:dyDescent="0.25">
      <c r="A706"/>
      <c r="B706"/>
      <c r="C706"/>
      <c r="D706"/>
      <c r="E706"/>
      <c r="F706"/>
      <c r="G706"/>
      <c r="H706"/>
      <c r="I706"/>
      <c r="J706"/>
      <c r="K706"/>
      <c r="L706" s="14"/>
      <c r="M706"/>
      <c r="N706"/>
      <c r="O706"/>
      <c r="P706"/>
    </row>
    <row r="707" spans="1:16" x14ac:dyDescent="0.25">
      <c r="A707"/>
      <c r="B707"/>
      <c r="C707"/>
      <c r="D707"/>
      <c r="E707"/>
      <c r="F707"/>
      <c r="G707"/>
      <c r="H707"/>
      <c r="I707"/>
      <c r="J707"/>
      <c r="K707"/>
      <c r="L707" s="14"/>
      <c r="M707"/>
      <c r="N707"/>
      <c r="O707"/>
      <c r="P707"/>
    </row>
    <row r="708" spans="1:16" x14ac:dyDescent="0.25">
      <c r="A708"/>
      <c r="B708"/>
      <c r="C708"/>
      <c r="D708"/>
      <c r="E708"/>
      <c r="F708"/>
      <c r="G708"/>
      <c r="H708"/>
      <c r="I708"/>
      <c r="J708"/>
      <c r="K708"/>
      <c r="L708" s="14"/>
      <c r="M708"/>
      <c r="N708"/>
      <c r="O708"/>
      <c r="P708"/>
    </row>
    <row r="709" spans="1:16" x14ac:dyDescent="0.25">
      <c r="A709"/>
      <c r="B709"/>
      <c r="C709"/>
      <c r="D709"/>
      <c r="E709"/>
      <c r="F709"/>
      <c r="G709"/>
      <c r="H709"/>
      <c r="I709"/>
      <c r="J709"/>
      <c r="K709"/>
      <c r="L709" s="14"/>
      <c r="M709"/>
      <c r="N709"/>
      <c r="O709"/>
      <c r="P709"/>
    </row>
    <row r="710" spans="1:16" x14ac:dyDescent="0.25">
      <c r="A710"/>
      <c r="B710"/>
      <c r="C710"/>
      <c r="D710"/>
      <c r="E710"/>
      <c r="F710"/>
      <c r="G710"/>
      <c r="H710"/>
      <c r="I710"/>
      <c r="J710"/>
      <c r="K710"/>
      <c r="L710" s="14"/>
      <c r="M710"/>
      <c r="N710"/>
      <c r="O710"/>
      <c r="P710"/>
    </row>
    <row r="711" spans="1:16" x14ac:dyDescent="0.25">
      <c r="A711"/>
      <c r="B711"/>
      <c r="C711"/>
      <c r="D711"/>
      <c r="E711"/>
      <c r="F711"/>
      <c r="G711"/>
      <c r="H711"/>
      <c r="I711"/>
      <c r="J711"/>
      <c r="K711"/>
      <c r="L711" s="14"/>
      <c r="M711"/>
      <c r="N711"/>
      <c r="O711"/>
      <c r="P711"/>
    </row>
    <row r="712" spans="1:16" x14ac:dyDescent="0.25">
      <c r="A712"/>
      <c r="B712"/>
      <c r="C712"/>
      <c r="D712"/>
      <c r="E712"/>
      <c r="F712"/>
      <c r="G712"/>
      <c r="H712"/>
      <c r="I712"/>
      <c r="J712"/>
      <c r="K712"/>
      <c r="L712" s="14"/>
      <c r="M712"/>
      <c r="N712"/>
      <c r="O712"/>
      <c r="P712"/>
    </row>
    <row r="713" spans="1:16" x14ac:dyDescent="0.25">
      <c r="A713"/>
      <c r="B713"/>
      <c r="C713"/>
      <c r="D713"/>
      <c r="E713"/>
      <c r="F713"/>
      <c r="G713"/>
      <c r="H713"/>
      <c r="I713"/>
      <c r="J713"/>
      <c r="K713"/>
      <c r="L713" s="14"/>
      <c r="M713"/>
      <c r="N713"/>
      <c r="O713"/>
      <c r="P713"/>
    </row>
    <row r="714" spans="1:16" x14ac:dyDescent="0.25">
      <c r="A714"/>
      <c r="B714"/>
      <c r="C714"/>
      <c r="D714"/>
      <c r="E714"/>
      <c r="F714"/>
      <c r="G714"/>
      <c r="H714"/>
      <c r="I714"/>
      <c r="J714"/>
      <c r="K714"/>
      <c r="L714" s="14"/>
      <c r="M714"/>
      <c r="N714"/>
      <c r="O714"/>
      <c r="P714"/>
    </row>
    <row r="715" spans="1:16" x14ac:dyDescent="0.25">
      <c r="A715"/>
      <c r="B715"/>
      <c r="C715"/>
      <c r="D715"/>
      <c r="E715"/>
      <c r="F715"/>
      <c r="G715"/>
      <c r="H715"/>
      <c r="I715"/>
      <c r="J715"/>
      <c r="K715"/>
      <c r="L715" s="14"/>
      <c r="M715"/>
      <c r="N715"/>
      <c r="O715"/>
      <c r="P715"/>
    </row>
    <row r="716" spans="1:16" x14ac:dyDescent="0.25">
      <c r="A716"/>
      <c r="B716"/>
      <c r="C716"/>
      <c r="D716"/>
      <c r="E716"/>
      <c r="F716"/>
      <c r="G716"/>
      <c r="H716"/>
      <c r="I716"/>
      <c r="J716"/>
      <c r="K716"/>
      <c r="L716" s="14"/>
      <c r="M716"/>
      <c r="N716"/>
      <c r="O716"/>
      <c r="P716"/>
    </row>
    <row r="717" spans="1:16" x14ac:dyDescent="0.25">
      <c r="A717"/>
      <c r="B717"/>
      <c r="C717"/>
      <c r="D717"/>
      <c r="E717"/>
      <c r="F717"/>
      <c r="G717"/>
      <c r="H717"/>
      <c r="I717"/>
      <c r="J717"/>
      <c r="K717"/>
      <c r="L717" s="14"/>
      <c r="M717"/>
      <c r="N717"/>
      <c r="O717"/>
      <c r="P717"/>
    </row>
    <row r="718" spans="1:16" x14ac:dyDescent="0.25">
      <c r="A718"/>
      <c r="B718"/>
      <c r="C718"/>
      <c r="D718"/>
      <c r="E718"/>
      <c r="F718"/>
      <c r="G718"/>
      <c r="H718"/>
      <c r="I718"/>
      <c r="J718"/>
      <c r="K718"/>
      <c r="L718" s="14"/>
      <c r="M718"/>
      <c r="N718"/>
      <c r="O718"/>
      <c r="P718"/>
    </row>
    <row r="719" spans="1:16" x14ac:dyDescent="0.25">
      <c r="A719"/>
      <c r="B719"/>
      <c r="C719"/>
      <c r="D719"/>
      <c r="E719"/>
      <c r="F719"/>
      <c r="G719"/>
      <c r="H719"/>
      <c r="I719"/>
      <c r="J719"/>
      <c r="K719"/>
      <c r="L719" s="14"/>
      <c r="M719"/>
      <c r="N719"/>
      <c r="O719"/>
      <c r="P719"/>
    </row>
    <row r="720" spans="1:16" x14ac:dyDescent="0.25">
      <c r="A720"/>
      <c r="B720"/>
      <c r="C720"/>
      <c r="D720"/>
      <c r="E720"/>
      <c r="F720"/>
      <c r="G720"/>
      <c r="H720"/>
      <c r="I720"/>
      <c r="J720"/>
      <c r="K720"/>
      <c r="L720" s="14"/>
      <c r="M720"/>
      <c r="N720"/>
      <c r="O720"/>
      <c r="P720"/>
    </row>
    <row r="721" spans="1:16" x14ac:dyDescent="0.25">
      <c r="A721"/>
      <c r="B721"/>
      <c r="C721"/>
      <c r="D721"/>
      <c r="E721"/>
      <c r="F721"/>
      <c r="G721"/>
      <c r="H721"/>
      <c r="I721"/>
      <c r="J721"/>
      <c r="K721"/>
      <c r="L721" s="14"/>
      <c r="M721"/>
      <c r="N721"/>
      <c r="O721"/>
      <c r="P721"/>
    </row>
    <row r="722" spans="1:16" x14ac:dyDescent="0.25">
      <c r="A722"/>
      <c r="B722"/>
      <c r="C722"/>
      <c r="D722"/>
      <c r="E722"/>
      <c r="F722"/>
      <c r="G722"/>
      <c r="H722"/>
      <c r="I722"/>
      <c r="J722"/>
      <c r="K722"/>
      <c r="L722" s="14"/>
      <c r="M722"/>
      <c r="N722"/>
      <c r="O722"/>
      <c r="P722"/>
    </row>
    <row r="723" spans="1:16" x14ac:dyDescent="0.25">
      <c r="A723"/>
      <c r="B723"/>
      <c r="C723"/>
      <c r="D723"/>
      <c r="E723"/>
      <c r="F723"/>
      <c r="G723"/>
      <c r="H723"/>
      <c r="I723"/>
      <c r="J723"/>
      <c r="K723"/>
      <c r="L723" s="14"/>
      <c r="M723"/>
      <c r="N723"/>
      <c r="O723"/>
      <c r="P723"/>
    </row>
    <row r="724" spans="1:16" x14ac:dyDescent="0.25">
      <c r="A724"/>
      <c r="B724"/>
      <c r="C724"/>
      <c r="D724"/>
      <c r="E724"/>
      <c r="F724"/>
      <c r="G724"/>
      <c r="H724"/>
      <c r="I724"/>
      <c r="J724"/>
      <c r="K724"/>
      <c r="L724" s="14"/>
      <c r="M724"/>
      <c r="N724"/>
      <c r="O724"/>
      <c r="P724"/>
    </row>
    <row r="725" spans="1:16" x14ac:dyDescent="0.25">
      <c r="A725"/>
      <c r="B725"/>
      <c r="C725"/>
      <c r="D725"/>
      <c r="E725"/>
      <c r="F725"/>
      <c r="G725"/>
      <c r="H725"/>
      <c r="I725"/>
      <c r="J725"/>
      <c r="K725"/>
      <c r="L725" s="14"/>
      <c r="M725"/>
      <c r="N725"/>
      <c r="O725"/>
      <c r="P725"/>
    </row>
    <row r="726" spans="1:16" x14ac:dyDescent="0.25">
      <c r="A726"/>
      <c r="B726"/>
      <c r="C726"/>
      <c r="D726"/>
      <c r="E726"/>
      <c r="F726"/>
      <c r="G726"/>
      <c r="H726"/>
      <c r="I726"/>
      <c r="J726"/>
      <c r="K726"/>
      <c r="L726" s="14"/>
      <c r="M726"/>
      <c r="N726"/>
      <c r="O726"/>
      <c r="P726"/>
    </row>
    <row r="727" spans="1:16" x14ac:dyDescent="0.25">
      <c r="A727"/>
      <c r="B727"/>
      <c r="C727"/>
      <c r="D727"/>
      <c r="E727"/>
      <c r="F727"/>
      <c r="G727"/>
      <c r="H727"/>
      <c r="I727"/>
      <c r="J727"/>
      <c r="K727"/>
      <c r="L727" s="14"/>
      <c r="M727"/>
      <c r="N727"/>
      <c r="O727"/>
      <c r="P727"/>
    </row>
    <row r="728" spans="1:16" x14ac:dyDescent="0.25">
      <c r="A728"/>
      <c r="B728"/>
      <c r="C728"/>
      <c r="D728"/>
      <c r="E728"/>
      <c r="F728"/>
      <c r="G728"/>
      <c r="H728"/>
      <c r="I728"/>
      <c r="J728"/>
      <c r="K728"/>
      <c r="L728" s="14"/>
      <c r="M728"/>
      <c r="N728"/>
      <c r="O728"/>
      <c r="P728"/>
    </row>
    <row r="729" spans="1:16" x14ac:dyDescent="0.25">
      <c r="A729"/>
      <c r="B729"/>
      <c r="C729"/>
      <c r="D729"/>
      <c r="E729"/>
      <c r="F729"/>
      <c r="G729"/>
      <c r="H729"/>
      <c r="I729"/>
      <c r="J729"/>
      <c r="K729"/>
      <c r="L729" s="14"/>
      <c r="M729"/>
      <c r="N729"/>
      <c r="O729"/>
      <c r="P729"/>
    </row>
    <row r="730" spans="1:16" x14ac:dyDescent="0.25">
      <c r="A730"/>
      <c r="B730"/>
      <c r="C730"/>
      <c r="D730"/>
      <c r="E730"/>
      <c r="F730"/>
      <c r="G730"/>
      <c r="H730"/>
      <c r="I730"/>
      <c r="J730"/>
      <c r="K730"/>
      <c r="L730" s="14"/>
      <c r="M730"/>
      <c r="N730"/>
      <c r="O730"/>
      <c r="P730"/>
    </row>
    <row r="731" spans="1:16" x14ac:dyDescent="0.25">
      <c r="A731"/>
      <c r="B731"/>
      <c r="C731"/>
      <c r="D731"/>
      <c r="E731"/>
      <c r="F731"/>
      <c r="G731"/>
      <c r="H731"/>
      <c r="I731"/>
      <c r="J731"/>
      <c r="K731"/>
      <c r="L731" s="14"/>
      <c r="M731"/>
      <c r="N731"/>
      <c r="O731"/>
      <c r="P731"/>
    </row>
    <row r="732" spans="1:16" x14ac:dyDescent="0.25">
      <c r="A732"/>
      <c r="B732"/>
      <c r="C732"/>
      <c r="D732"/>
      <c r="E732"/>
      <c r="F732"/>
      <c r="G732"/>
      <c r="H732"/>
      <c r="I732"/>
      <c r="J732"/>
      <c r="K732"/>
      <c r="L732" s="14"/>
      <c r="M732"/>
      <c r="N732"/>
      <c r="O732"/>
      <c r="P732"/>
    </row>
    <row r="733" spans="1:16" x14ac:dyDescent="0.25">
      <c r="A733"/>
      <c r="B733"/>
      <c r="C733"/>
      <c r="D733"/>
      <c r="E733"/>
      <c r="F733"/>
      <c r="G733"/>
      <c r="H733"/>
      <c r="I733"/>
      <c r="J733"/>
      <c r="K733"/>
      <c r="L733" s="14"/>
      <c r="M733"/>
      <c r="N733"/>
      <c r="O733"/>
      <c r="P733"/>
    </row>
    <row r="734" spans="1:16" x14ac:dyDescent="0.25">
      <c r="A734"/>
      <c r="B734"/>
      <c r="C734"/>
      <c r="D734"/>
      <c r="E734"/>
      <c r="F734"/>
      <c r="G734"/>
      <c r="H734"/>
      <c r="I734"/>
      <c r="J734"/>
      <c r="K734"/>
      <c r="L734" s="14"/>
      <c r="M734"/>
      <c r="N734"/>
      <c r="O734"/>
      <c r="P734"/>
    </row>
    <row r="735" spans="1:16" x14ac:dyDescent="0.25">
      <c r="A735"/>
      <c r="B735"/>
      <c r="C735"/>
      <c r="D735"/>
      <c r="E735"/>
      <c r="F735"/>
      <c r="G735"/>
      <c r="H735"/>
      <c r="I735"/>
      <c r="J735"/>
      <c r="K735"/>
      <c r="L735" s="14"/>
      <c r="M735"/>
      <c r="N735"/>
      <c r="O735"/>
      <c r="P735"/>
    </row>
    <row r="736" spans="1:16" x14ac:dyDescent="0.25">
      <c r="A736"/>
      <c r="B736"/>
      <c r="C736"/>
      <c r="D736"/>
      <c r="E736"/>
      <c r="F736"/>
      <c r="G736"/>
      <c r="H736"/>
      <c r="I736"/>
      <c r="J736"/>
      <c r="K736"/>
      <c r="L736" s="14"/>
      <c r="M736"/>
      <c r="N736"/>
      <c r="O736"/>
      <c r="P736"/>
    </row>
    <row r="737" spans="1:16" x14ac:dyDescent="0.25">
      <c r="A737"/>
      <c r="B737"/>
      <c r="C737"/>
      <c r="D737"/>
      <c r="E737"/>
      <c r="F737"/>
      <c r="G737"/>
      <c r="H737"/>
      <c r="I737"/>
      <c r="J737"/>
      <c r="K737"/>
      <c r="L737" s="14"/>
      <c r="M737"/>
      <c r="N737"/>
      <c r="O737"/>
      <c r="P737"/>
    </row>
    <row r="738" spans="1:16" x14ac:dyDescent="0.25">
      <c r="A738"/>
      <c r="B738"/>
      <c r="C738"/>
      <c r="D738"/>
      <c r="E738"/>
      <c r="F738"/>
      <c r="G738"/>
      <c r="H738"/>
      <c r="I738"/>
      <c r="J738"/>
      <c r="K738"/>
      <c r="L738" s="14"/>
      <c r="M738"/>
      <c r="N738"/>
      <c r="O738"/>
      <c r="P738"/>
    </row>
    <row r="739" spans="1:16" x14ac:dyDescent="0.25">
      <c r="A739"/>
      <c r="B739"/>
      <c r="C739"/>
      <c r="D739"/>
      <c r="E739"/>
      <c r="F739"/>
      <c r="G739"/>
      <c r="H739"/>
      <c r="I739"/>
      <c r="J739"/>
      <c r="K739"/>
      <c r="L739" s="14"/>
      <c r="M739"/>
      <c r="N739"/>
      <c r="O739"/>
      <c r="P739"/>
    </row>
    <row r="740" spans="1:16" x14ac:dyDescent="0.25">
      <c r="A740"/>
      <c r="B740"/>
      <c r="C740"/>
      <c r="D740"/>
      <c r="E740"/>
      <c r="F740"/>
      <c r="G740"/>
      <c r="H740"/>
      <c r="I740"/>
      <c r="J740"/>
      <c r="K740"/>
      <c r="L740" s="14"/>
      <c r="M740"/>
      <c r="N740"/>
      <c r="O740"/>
      <c r="P740"/>
    </row>
    <row r="741" spans="1:16" x14ac:dyDescent="0.25">
      <c r="A741"/>
      <c r="B741"/>
      <c r="C741"/>
      <c r="D741"/>
      <c r="E741"/>
      <c r="F741"/>
      <c r="G741"/>
      <c r="H741"/>
      <c r="I741"/>
      <c r="J741"/>
      <c r="K741"/>
      <c r="L741" s="14"/>
      <c r="M741"/>
      <c r="N741"/>
      <c r="O741"/>
      <c r="P741"/>
    </row>
    <row r="742" spans="1:16" x14ac:dyDescent="0.25">
      <c r="A742"/>
      <c r="B742"/>
      <c r="C742"/>
      <c r="D742"/>
      <c r="E742"/>
      <c r="F742"/>
      <c r="G742"/>
      <c r="H742"/>
      <c r="I742"/>
      <c r="J742"/>
      <c r="K742"/>
      <c r="L742" s="14"/>
      <c r="M742"/>
      <c r="N742"/>
      <c r="O742"/>
      <c r="P742"/>
    </row>
    <row r="743" spans="1:16" x14ac:dyDescent="0.25">
      <c r="A743"/>
      <c r="B743"/>
      <c r="C743"/>
      <c r="D743"/>
      <c r="E743"/>
      <c r="F743"/>
      <c r="G743"/>
      <c r="H743"/>
      <c r="I743"/>
      <c r="J743"/>
      <c r="K743"/>
      <c r="L743" s="14"/>
      <c r="M743"/>
      <c r="N743"/>
      <c r="O743"/>
      <c r="P743"/>
    </row>
    <row r="744" spans="1:16" x14ac:dyDescent="0.25">
      <c r="A744"/>
      <c r="B744"/>
      <c r="C744"/>
      <c r="D744"/>
      <c r="E744"/>
      <c r="F744"/>
      <c r="G744"/>
      <c r="H744"/>
      <c r="I744"/>
      <c r="J744"/>
      <c r="K744"/>
      <c r="L744" s="14"/>
      <c r="M744"/>
      <c r="N744"/>
      <c r="O744"/>
      <c r="P744"/>
    </row>
    <row r="745" spans="1:16" x14ac:dyDescent="0.25">
      <c r="A745"/>
      <c r="B745"/>
      <c r="C745"/>
      <c r="D745"/>
      <c r="E745"/>
      <c r="F745"/>
      <c r="G745"/>
      <c r="H745"/>
      <c r="I745"/>
      <c r="J745"/>
      <c r="K745"/>
      <c r="L745" s="14"/>
      <c r="M745"/>
      <c r="N745"/>
      <c r="O745"/>
      <c r="P745"/>
    </row>
    <row r="746" spans="1:16" x14ac:dyDescent="0.25">
      <c r="A746"/>
      <c r="B746"/>
      <c r="C746"/>
      <c r="D746"/>
      <c r="E746"/>
      <c r="F746"/>
      <c r="G746"/>
      <c r="H746"/>
      <c r="I746"/>
      <c r="J746"/>
      <c r="K746"/>
      <c r="L746" s="14"/>
      <c r="M746"/>
      <c r="N746"/>
      <c r="O746"/>
      <c r="P746"/>
    </row>
    <row r="747" spans="1:16" x14ac:dyDescent="0.25">
      <c r="A747"/>
      <c r="B747"/>
      <c r="C747"/>
      <c r="D747"/>
      <c r="E747"/>
      <c r="F747"/>
      <c r="G747"/>
      <c r="H747"/>
      <c r="I747"/>
      <c r="J747"/>
      <c r="K747"/>
      <c r="L747" s="14"/>
      <c r="M747"/>
      <c r="N747"/>
      <c r="O747"/>
      <c r="P747"/>
    </row>
    <row r="748" spans="1:16" x14ac:dyDescent="0.25">
      <c r="A748"/>
      <c r="B748"/>
      <c r="C748"/>
      <c r="D748"/>
      <c r="E748"/>
      <c r="F748"/>
      <c r="G748"/>
      <c r="H748"/>
      <c r="I748"/>
      <c r="J748"/>
      <c r="K748"/>
      <c r="L748" s="14"/>
      <c r="M748"/>
      <c r="N748"/>
      <c r="O748"/>
      <c r="P748"/>
    </row>
    <row r="749" spans="1:16" x14ac:dyDescent="0.25">
      <c r="A749"/>
      <c r="B749"/>
      <c r="C749"/>
      <c r="D749"/>
      <c r="E749"/>
      <c r="F749"/>
      <c r="G749"/>
      <c r="H749"/>
      <c r="I749"/>
      <c r="J749"/>
      <c r="K749"/>
      <c r="L749" s="14"/>
      <c r="M749"/>
      <c r="N749"/>
      <c r="O749"/>
      <c r="P749"/>
    </row>
    <row r="750" spans="1:16" x14ac:dyDescent="0.25">
      <c r="A750"/>
      <c r="B750"/>
      <c r="C750"/>
      <c r="D750"/>
      <c r="E750"/>
      <c r="F750"/>
      <c r="G750"/>
      <c r="H750"/>
      <c r="I750"/>
      <c r="J750"/>
      <c r="K750"/>
      <c r="L750" s="14"/>
      <c r="M750"/>
      <c r="N750"/>
      <c r="O750"/>
      <c r="P750"/>
    </row>
    <row r="751" spans="1:16" x14ac:dyDescent="0.25">
      <c r="A751"/>
      <c r="B751"/>
      <c r="C751"/>
      <c r="D751"/>
      <c r="E751"/>
      <c r="F751"/>
      <c r="G751"/>
      <c r="H751"/>
      <c r="I751"/>
      <c r="J751"/>
      <c r="K751"/>
      <c r="L751" s="14"/>
      <c r="M751"/>
      <c r="N751"/>
      <c r="O751"/>
      <c r="P751"/>
    </row>
    <row r="752" spans="1:16" x14ac:dyDescent="0.25">
      <c r="A752"/>
      <c r="B752"/>
      <c r="C752"/>
      <c r="D752"/>
      <c r="E752"/>
      <c r="F752"/>
      <c r="G752"/>
      <c r="H752"/>
      <c r="I752"/>
      <c r="J752"/>
      <c r="K752"/>
      <c r="L752" s="14"/>
      <c r="M752"/>
      <c r="N752"/>
      <c r="O752"/>
      <c r="P752"/>
    </row>
    <row r="753" spans="1:16" x14ac:dyDescent="0.25">
      <c r="A753"/>
      <c r="B753"/>
      <c r="C753"/>
      <c r="D753"/>
      <c r="E753"/>
      <c r="F753"/>
      <c r="G753"/>
      <c r="H753"/>
      <c r="I753"/>
      <c r="J753"/>
      <c r="K753"/>
      <c r="L753" s="14"/>
      <c r="M753"/>
      <c r="N753"/>
      <c r="O753"/>
      <c r="P753"/>
    </row>
    <row r="754" spans="1:16" x14ac:dyDescent="0.25">
      <c r="A754"/>
      <c r="B754"/>
      <c r="C754"/>
      <c r="D754"/>
      <c r="E754"/>
      <c r="F754"/>
      <c r="G754"/>
      <c r="H754"/>
      <c r="I754"/>
      <c r="J754"/>
      <c r="K754"/>
      <c r="L754" s="14"/>
      <c r="M754"/>
      <c r="N754"/>
      <c r="O754"/>
      <c r="P754"/>
    </row>
    <row r="755" spans="1:16" x14ac:dyDescent="0.25">
      <c r="A755"/>
      <c r="B755"/>
      <c r="C755"/>
      <c r="D755"/>
      <c r="E755"/>
      <c r="F755"/>
      <c r="G755"/>
      <c r="H755"/>
      <c r="I755"/>
      <c r="J755"/>
      <c r="K755"/>
      <c r="L755" s="14"/>
      <c r="M755"/>
      <c r="N755"/>
      <c r="O755"/>
      <c r="P755"/>
    </row>
    <row r="756" spans="1:16" x14ac:dyDescent="0.25">
      <c r="A756"/>
      <c r="B756"/>
      <c r="C756"/>
      <c r="D756"/>
      <c r="E756"/>
      <c r="F756"/>
      <c r="G756"/>
      <c r="H756"/>
      <c r="I756"/>
      <c r="J756"/>
      <c r="K756"/>
      <c r="L756" s="14"/>
      <c r="M756"/>
      <c r="N756"/>
      <c r="O756"/>
      <c r="P756"/>
    </row>
    <row r="757" spans="1:16" x14ac:dyDescent="0.25">
      <c r="A757"/>
      <c r="B757"/>
      <c r="C757"/>
      <c r="D757"/>
      <c r="E757"/>
      <c r="F757"/>
      <c r="G757"/>
      <c r="H757"/>
      <c r="I757"/>
      <c r="J757"/>
      <c r="K757"/>
      <c r="L757" s="14"/>
      <c r="M757"/>
      <c r="N757"/>
      <c r="O757"/>
      <c r="P757"/>
    </row>
    <row r="758" spans="1:16" x14ac:dyDescent="0.25">
      <c r="A758"/>
      <c r="B758"/>
      <c r="C758"/>
      <c r="D758"/>
      <c r="E758"/>
      <c r="F758"/>
      <c r="G758"/>
      <c r="H758"/>
      <c r="I758"/>
      <c r="J758"/>
      <c r="K758"/>
      <c r="L758" s="14"/>
      <c r="M758"/>
      <c r="N758"/>
      <c r="O758"/>
      <c r="P758"/>
    </row>
    <row r="759" spans="1:16" x14ac:dyDescent="0.25">
      <c r="A759"/>
      <c r="B759"/>
      <c r="C759"/>
      <c r="D759"/>
      <c r="E759"/>
      <c r="F759"/>
      <c r="G759"/>
      <c r="H759"/>
      <c r="I759"/>
      <c r="J759"/>
      <c r="K759"/>
      <c r="L759" s="14"/>
      <c r="M759"/>
      <c r="N759"/>
      <c r="O759"/>
      <c r="P759"/>
    </row>
    <row r="760" spans="1:16" x14ac:dyDescent="0.25">
      <c r="A760"/>
      <c r="B760"/>
      <c r="C760"/>
      <c r="D760"/>
      <c r="E760"/>
      <c r="F760"/>
      <c r="G760"/>
      <c r="H760"/>
      <c r="I760"/>
      <c r="J760"/>
      <c r="K760"/>
      <c r="L760" s="14"/>
      <c r="M760"/>
      <c r="N760"/>
      <c r="O760"/>
      <c r="P760"/>
    </row>
    <row r="761" spans="1:16" x14ac:dyDescent="0.25">
      <c r="A761"/>
      <c r="B761"/>
      <c r="C761"/>
      <c r="D761"/>
      <c r="E761"/>
      <c r="F761"/>
      <c r="G761"/>
      <c r="H761"/>
      <c r="I761"/>
      <c r="J761"/>
      <c r="K761"/>
      <c r="L761" s="14"/>
      <c r="M761"/>
      <c r="N761"/>
      <c r="O761"/>
      <c r="P761"/>
    </row>
    <row r="762" spans="1:16" x14ac:dyDescent="0.25">
      <c r="A762"/>
      <c r="B762"/>
      <c r="C762"/>
      <c r="D762"/>
      <c r="E762"/>
      <c r="F762"/>
      <c r="G762"/>
      <c r="H762"/>
      <c r="I762"/>
      <c r="J762"/>
      <c r="K762"/>
      <c r="L762" s="14"/>
      <c r="M762"/>
      <c r="N762"/>
      <c r="O762"/>
      <c r="P762"/>
    </row>
    <row r="763" spans="1:16" x14ac:dyDescent="0.25">
      <c r="A763"/>
      <c r="B763"/>
      <c r="C763"/>
      <c r="D763"/>
      <c r="E763"/>
      <c r="F763"/>
      <c r="G763"/>
      <c r="H763"/>
      <c r="I763"/>
      <c r="J763"/>
      <c r="K763"/>
      <c r="L763" s="14"/>
      <c r="M763"/>
      <c r="N763"/>
      <c r="O763"/>
      <c r="P763"/>
    </row>
    <row r="764" spans="1:16" x14ac:dyDescent="0.25">
      <c r="A764"/>
      <c r="B764"/>
      <c r="C764"/>
      <c r="D764"/>
      <c r="E764"/>
      <c r="F764"/>
      <c r="G764"/>
      <c r="H764"/>
      <c r="I764"/>
      <c r="J764"/>
      <c r="K764"/>
      <c r="L764" s="14"/>
      <c r="M764"/>
      <c r="N764"/>
      <c r="O764"/>
      <c r="P764"/>
    </row>
    <row r="765" spans="1:16" x14ac:dyDescent="0.25">
      <c r="A765"/>
      <c r="B765"/>
      <c r="C765"/>
      <c r="D765"/>
      <c r="E765"/>
      <c r="F765"/>
      <c r="G765"/>
      <c r="H765"/>
      <c r="I765"/>
      <c r="J765"/>
      <c r="K765"/>
      <c r="L765" s="14"/>
      <c r="M765"/>
      <c r="N765"/>
      <c r="O765"/>
      <c r="P765"/>
    </row>
    <row r="766" spans="1:16" x14ac:dyDescent="0.25">
      <c r="A766"/>
      <c r="B766"/>
      <c r="C766"/>
      <c r="D766"/>
      <c r="E766"/>
      <c r="F766"/>
      <c r="G766"/>
      <c r="H766"/>
      <c r="I766"/>
      <c r="J766"/>
      <c r="K766"/>
      <c r="L766" s="14"/>
      <c r="M766"/>
      <c r="N766"/>
      <c r="O766"/>
      <c r="P766"/>
    </row>
    <row r="767" spans="1:16" x14ac:dyDescent="0.25">
      <c r="A767"/>
      <c r="B767"/>
      <c r="C767"/>
      <c r="D767"/>
      <c r="E767"/>
      <c r="F767"/>
      <c r="G767"/>
      <c r="H767"/>
      <c r="I767"/>
      <c r="J767"/>
      <c r="K767"/>
      <c r="L767" s="14"/>
      <c r="M767"/>
      <c r="N767"/>
      <c r="O767"/>
      <c r="P767"/>
    </row>
    <row r="768" spans="1:16" x14ac:dyDescent="0.25">
      <c r="A768"/>
      <c r="B768"/>
      <c r="C768"/>
      <c r="D768"/>
      <c r="E768"/>
      <c r="F768"/>
      <c r="G768"/>
      <c r="H768"/>
      <c r="I768"/>
      <c r="J768"/>
      <c r="K768"/>
      <c r="L768" s="14"/>
      <c r="M768"/>
      <c r="N768"/>
      <c r="O768"/>
      <c r="P768"/>
    </row>
    <row r="769" spans="1:16" x14ac:dyDescent="0.25">
      <c r="A769"/>
      <c r="B769"/>
      <c r="C769"/>
      <c r="D769"/>
      <c r="E769"/>
      <c r="F769"/>
      <c r="G769"/>
      <c r="H769"/>
      <c r="I769"/>
      <c r="J769"/>
      <c r="K769"/>
      <c r="L769" s="14"/>
      <c r="M769"/>
      <c r="N769"/>
      <c r="O769"/>
      <c r="P769"/>
    </row>
    <row r="770" spans="1:16" x14ac:dyDescent="0.25">
      <c r="A770"/>
      <c r="B770"/>
      <c r="C770"/>
      <c r="D770"/>
      <c r="E770"/>
      <c r="F770"/>
      <c r="G770"/>
      <c r="H770"/>
      <c r="I770"/>
      <c r="J770"/>
      <c r="K770"/>
      <c r="L770" s="14"/>
      <c r="M770"/>
      <c r="N770"/>
      <c r="O770"/>
      <c r="P770"/>
    </row>
    <row r="771" spans="1:16" x14ac:dyDescent="0.25">
      <c r="A771"/>
      <c r="B771"/>
      <c r="C771"/>
      <c r="D771"/>
      <c r="E771"/>
      <c r="F771"/>
      <c r="G771"/>
      <c r="H771"/>
      <c r="I771"/>
      <c r="J771"/>
      <c r="K771"/>
      <c r="L771" s="14"/>
      <c r="M771"/>
      <c r="N771"/>
      <c r="O771"/>
      <c r="P771"/>
    </row>
    <row r="772" spans="1:16" x14ac:dyDescent="0.25">
      <c r="A772"/>
      <c r="B772"/>
      <c r="C772"/>
      <c r="D772"/>
      <c r="E772"/>
      <c r="F772"/>
      <c r="G772"/>
      <c r="H772"/>
      <c r="I772"/>
      <c r="J772"/>
      <c r="K772"/>
      <c r="L772" s="14"/>
      <c r="M772"/>
      <c r="N772"/>
      <c r="O772"/>
      <c r="P772"/>
    </row>
    <row r="773" spans="1:16" x14ac:dyDescent="0.25">
      <c r="A773"/>
      <c r="B773"/>
      <c r="C773"/>
      <c r="D773"/>
      <c r="E773"/>
      <c r="F773"/>
      <c r="G773"/>
      <c r="H773"/>
      <c r="I773"/>
      <c r="J773"/>
      <c r="K773"/>
      <c r="L773" s="14"/>
      <c r="M773"/>
      <c r="N773"/>
      <c r="O773"/>
      <c r="P773"/>
    </row>
    <row r="774" spans="1:16" x14ac:dyDescent="0.25">
      <c r="A774"/>
      <c r="B774"/>
      <c r="C774"/>
      <c r="D774"/>
      <c r="E774"/>
      <c r="F774"/>
      <c r="G774"/>
      <c r="H774"/>
      <c r="I774"/>
      <c r="J774"/>
      <c r="K774"/>
      <c r="L774" s="14"/>
      <c r="M774"/>
      <c r="N774"/>
      <c r="O774"/>
      <c r="P774"/>
    </row>
    <row r="775" spans="1:16" x14ac:dyDescent="0.25">
      <c r="A775"/>
      <c r="B775"/>
      <c r="C775"/>
      <c r="D775"/>
      <c r="E775"/>
      <c r="F775"/>
      <c r="G775"/>
      <c r="H775"/>
      <c r="I775"/>
      <c r="J775"/>
      <c r="K775"/>
      <c r="L775" s="14"/>
      <c r="M775"/>
      <c r="N775"/>
      <c r="O775"/>
      <c r="P775"/>
    </row>
    <row r="776" spans="1:16" x14ac:dyDescent="0.25">
      <c r="A776"/>
      <c r="B776"/>
      <c r="C776"/>
      <c r="D776"/>
      <c r="E776"/>
      <c r="F776"/>
      <c r="G776"/>
      <c r="H776"/>
      <c r="I776"/>
      <c r="J776"/>
      <c r="K776"/>
      <c r="L776" s="14"/>
      <c r="M776"/>
      <c r="N776"/>
      <c r="O776"/>
      <c r="P776"/>
    </row>
    <row r="777" spans="1:16" x14ac:dyDescent="0.25">
      <c r="A777"/>
      <c r="B777"/>
      <c r="C777"/>
      <c r="D777"/>
      <c r="E777"/>
      <c r="F777"/>
      <c r="G777"/>
      <c r="H777"/>
      <c r="I777"/>
      <c r="J777"/>
      <c r="K777"/>
      <c r="L777" s="14"/>
      <c r="M777"/>
      <c r="N777"/>
      <c r="O777"/>
      <c r="P777"/>
    </row>
    <row r="778" spans="1:16" x14ac:dyDescent="0.25">
      <c r="A778"/>
      <c r="B778"/>
      <c r="C778"/>
      <c r="D778"/>
      <c r="E778"/>
      <c r="F778"/>
      <c r="G778"/>
      <c r="H778"/>
      <c r="I778"/>
      <c r="J778"/>
      <c r="K778"/>
      <c r="L778" s="14"/>
      <c r="M778"/>
      <c r="N778"/>
      <c r="O778"/>
      <c r="P778"/>
    </row>
    <row r="779" spans="1:16" x14ac:dyDescent="0.25">
      <c r="A779"/>
      <c r="B779"/>
      <c r="C779"/>
      <c r="D779"/>
      <c r="E779"/>
      <c r="F779"/>
      <c r="G779"/>
      <c r="H779"/>
      <c r="I779"/>
      <c r="J779"/>
      <c r="K779"/>
      <c r="L779" s="14"/>
      <c r="M779"/>
      <c r="N779"/>
      <c r="O779"/>
      <c r="P779"/>
    </row>
    <row r="780" spans="1:16" x14ac:dyDescent="0.25">
      <c r="A780"/>
      <c r="B780"/>
      <c r="C780"/>
      <c r="D780"/>
      <c r="E780"/>
      <c r="F780"/>
      <c r="G780"/>
      <c r="H780"/>
      <c r="I780"/>
      <c r="J780"/>
      <c r="K780"/>
      <c r="L780" s="14"/>
      <c r="M780"/>
      <c r="N780"/>
      <c r="O780"/>
      <c r="P780"/>
    </row>
    <row r="781" spans="1:16" x14ac:dyDescent="0.25">
      <c r="A781"/>
      <c r="B781"/>
      <c r="C781"/>
      <c r="D781"/>
      <c r="E781"/>
      <c r="F781"/>
      <c r="G781"/>
      <c r="H781"/>
      <c r="I781"/>
      <c r="J781"/>
      <c r="K781"/>
      <c r="L781" s="14"/>
      <c r="M781"/>
      <c r="N781"/>
      <c r="O781"/>
      <c r="P781"/>
    </row>
    <row r="782" spans="1:16" x14ac:dyDescent="0.25">
      <c r="A782"/>
      <c r="B782"/>
      <c r="C782"/>
      <c r="D782"/>
      <c r="E782"/>
      <c r="F782"/>
      <c r="G782"/>
      <c r="H782"/>
      <c r="I782"/>
      <c r="J782"/>
      <c r="K782"/>
      <c r="L782" s="14"/>
      <c r="M782"/>
      <c r="N782"/>
      <c r="O782"/>
      <c r="P782"/>
    </row>
    <row r="783" spans="1:16" x14ac:dyDescent="0.25">
      <c r="A783"/>
      <c r="B783"/>
      <c r="C783"/>
      <c r="D783"/>
      <c r="E783"/>
      <c r="F783"/>
      <c r="G783"/>
      <c r="H783"/>
      <c r="I783"/>
      <c r="J783"/>
      <c r="K783"/>
      <c r="L783" s="14"/>
      <c r="M783"/>
      <c r="N783"/>
      <c r="O783"/>
      <c r="P783"/>
    </row>
    <row r="784" spans="1:16" x14ac:dyDescent="0.25">
      <c r="A784"/>
      <c r="B784"/>
      <c r="C784"/>
      <c r="D784"/>
      <c r="E784"/>
      <c r="F784"/>
      <c r="G784"/>
      <c r="H784"/>
      <c r="I784"/>
      <c r="J784"/>
      <c r="K784"/>
      <c r="L784" s="14"/>
      <c r="M784"/>
      <c r="N784"/>
      <c r="O784"/>
      <c r="P784"/>
    </row>
    <row r="785" spans="1:16" x14ac:dyDescent="0.25">
      <c r="A785"/>
      <c r="B785"/>
      <c r="C785"/>
      <c r="D785"/>
      <c r="E785"/>
      <c r="F785"/>
      <c r="G785"/>
      <c r="H785"/>
      <c r="I785"/>
      <c r="J785"/>
      <c r="K785"/>
      <c r="L785" s="14"/>
      <c r="M785"/>
      <c r="N785"/>
      <c r="O785"/>
      <c r="P785"/>
    </row>
    <row r="786" spans="1:16" x14ac:dyDescent="0.25">
      <c r="A786"/>
      <c r="B786"/>
      <c r="C786"/>
      <c r="D786"/>
      <c r="E786"/>
      <c r="F786"/>
      <c r="G786"/>
      <c r="H786"/>
      <c r="I786"/>
      <c r="J786"/>
      <c r="K786"/>
      <c r="L786" s="14"/>
      <c r="M786"/>
      <c r="N786"/>
      <c r="O786"/>
      <c r="P786"/>
    </row>
    <row r="787" spans="1:16" x14ac:dyDescent="0.25">
      <c r="A787"/>
      <c r="B787"/>
      <c r="C787"/>
      <c r="D787"/>
      <c r="E787"/>
      <c r="F787"/>
      <c r="G787"/>
      <c r="H787"/>
      <c r="I787"/>
      <c r="J787"/>
      <c r="K787"/>
      <c r="L787" s="14"/>
      <c r="M787"/>
      <c r="N787"/>
      <c r="O787"/>
      <c r="P787"/>
    </row>
    <row r="788" spans="1:16" x14ac:dyDescent="0.25">
      <c r="A788"/>
      <c r="B788"/>
      <c r="C788"/>
      <c r="D788"/>
      <c r="E788"/>
      <c r="F788"/>
      <c r="G788"/>
      <c r="H788"/>
      <c r="I788"/>
      <c r="J788"/>
      <c r="K788"/>
      <c r="L788" s="14"/>
      <c r="M788"/>
      <c r="N788"/>
      <c r="O788"/>
      <c r="P788"/>
    </row>
    <row r="789" spans="1:16" x14ac:dyDescent="0.25">
      <c r="A789"/>
      <c r="B789"/>
      <c r="C789"/>
      <c r="D789"/>
      <c r="E789"/>
      <c r="F789"/>
      <c r="G789"/>
      <c r="H789"/>
      <c r="I789"/>
      <c r="J789"/>
      <c r="K789"/>
      <c r="L789" s="14"/>
      <c r="M789"/>
      <c r="N789"/>
      <c r="O789"/>
      <c r="P789"/>
    </row>
    <row r="790" spans="1:16" x14ac:dyDescent="0.25">
      <c r="A790"/>
      <c r="B790"/>
      <c r="C790"/>
      <c r="D790"/>
      <c r="E790"/>
      <c r="F790"/>
      <c r="G790"/>
      <c r="H790"/>
      <c r="I790"/>
      <c r="J790"/>
      <c r="K790"/>
      <c r="L790" s="14"/>
      <c r="M790"/>
      <c r="N790"/>
      <c r="O790"/>
      <c r="P790"/>
    </row>
    <row r="791" spans="1:16" x14ac:dyDescent="0.25">
      <c r="A791"/>
      <c r="B791"/>
      <c r="C791"/>
      <c r="D791"/>
      <c r="E791"/>
      <c r="F791"/>
      <c r="G791"/>
      <c r="H791"/>
      <c r="I791"/>
      <c r="J791"/>
      <c r="K791"/>
      <c r="L791" s="14"/>
      <c r="M791"/>
      <c r="N791"/>
      <c r="O791"/>
      <c r="P791"/>
    </row>
    <row r="792" spans="1:16" x14ac:dyDescent="0.25">
      <c r="A792"/>
      <c r="B792"/>
      <c r="C792"/>
      <c r="D792"/>
      <c r="E792"/>
      <c r="F792"/>
      <c r="G792"/>
      <c r="H792"/>
      <c r="I792"/>
      <c r="J792"/>
      <c r="K792"/>
      <c r="L792" s="14"/>
      <c r="M792"/>
      <c r="N792"/>
      <c r="O792"/>
      <c r="P792"/>
    </row>
    <row r="793" spans="1:16" x14ac:dyDescent="0.25">
      <c r="A793"/>
      <c r="B793"/>
      <c r="C793"/>
      <c r="D793"/>
      <c r="E793"/>
      <c r="F793"/>
      <c r="G793"/>
      <c r="H793"/>
      <c r="I793"/>
      <c r="J793"/>
      <c r="K793"/>
      <c r="L793" s="14"/>
      <c r="M793"/>
      <c r="N793"/>
      <c r="O793"/>
      <c r="P793"/>
    </row>
    <row r="794" spans="1:16" x14ac:dyDescent="0.25">
      <c r="A794"/>
      <c r="B794"/>
      <c r="C794"/>
      <c r="D794"/>
      <c r="E794"/>
      <c r="F794"/>
      <c r="G794"/>
      <c r="H794"/>
      <c r="I794"/>
      <c r="J794"/>
      <c r="K794"/>
      <c r="L794" s="14"/>
      <c r="M794"/>
      <c r="N794"/>
      <c r="O794"/>
      <c r="P794"/>
    </row>
    <row r="795" spans="1:16" x14ac:dyDescent="0.25">
      <c r="A795"/>
      <c r="B795"/>
      <c r="C795"/>
      <c r="D795"/>
      <c r="E795"/>
      <c r="F795"/>
      <c r="G795"/>
      <c r="H795"/>
      <c r="I795"/>
      <c r="J795"/>
      <c r="K795"/>
      <c r="L795" s="14"/>
      <c r="M795"/>
      <c r="N795"/>
      <c r="O795"/>
      <c r="P795"/>
    </row>
    <row r="796" spans="1:16" x14ac:dyDescent="0.25">
      <c r="A796"/>
      <c r="B796"/>
      <c r="C796"/>
      <c r="D796"/>
      <c r="E796"/>
      <c r="F796"/>
      <c r="G796"/>
      <c r="H796"/>
      <c r="I796"/>
      <c r="J796"/>
      <c r="K796"/>
      <c r="L796" s="14"/>
      <c r="M796"/>
      <c r="N796"/>
      <c r="O796"/>
      <c r="P796"/>
    </row>
    <row r="797" spans="1:16" x14ac:dyDescent="0.25">
      <c r="A797"/>
      <c r="B797"/>
      <c r="C797"/>
      <c r="D797"/>
      <c r="E797"/>
      <c r="F797"/>
      <c r="G797"/>
      <c r="H797"/>
      <c r="I797"/>
      <c r="J797"/>
      <c r="K797"/>
      <c r="L797" s="14"/>
      <c r="M797"/>
      <c r="N797"/>
      <c r="O797"/>
      <c r="P797"/>
    </row>
    <row r="798" spans="1:16" x14ac:dyDescent="0.25">
      <c r="A798"/>
      <c r="B798"/>
      <c r="C798"/>
      <c r="D798"/>
      <c r="E798"/>
      <c r="F798"/>
      <c r="G798"/>
      <c r="H798"/>
      <c r="I798"/>
      <c r="J798"/>
      <c r="K798"/>
      <c r="L798" s="14"/>
      <c r="M798"/>
      <c r="N798"/>
      <c r="O798"/>
      <c r="P798"/>
    </row>
    <row r="799" spans="1:16" x14ac:dyDescent="0.25">
      <c r="A799"/>
      <c r="B799"/>
      <c r="C799"/>
      <c r="D799"/>
      <c r="E799"/>
      <c r="F799"/>
      <c r="G799"/>
      <c r="H799"/>
      <c r="I799"/>
      <c r="J799"/>
      <c r="K799"/>
      <c r="L799" s="14"/>
      <c r="M799"/>
      <c r="N799"/>
      <c r="O799"/>
      <c r="P799"/>
    </row>
    <row r="800" spans="1:16" x14ac:dyDescent="0.25">
      <c r="A800"/>
      <c r="B800"/>
      <c r="C800"/>
      <c r="D800"/>
      <c r="E800"/>
      <c r="F800"/>
      <c r="G800"/>
      <c r="H800"/>
      <c r="I800"/>
      <c r="J800"/>
      <c r="K800"/>
      <c r="L800" s="14"/>
      <c r="M800"/>
      <c r="N800"/>
      <c r="O800"/>
      <c r="P800"/>
    </row>
    <row r="801" spans="1:16" x14ac:dyDescent="0.25">
      <c r="A801"/>
      <c r="B801"/>
      <c r="C801"/>
      <c r="D801"/>
      <c r="E801"/>
      <c r="F801"/>
      <c r="G801"/>
      <c r="H801"/>
      <c r="I801"/>
      <c r="J801"/>
      <c r="K801"/>
      <c r="L801" s="14"/>
      <c r="M801"/>
      <c r="N801"/>
      <c r="O801"/>
      <c r="P801"/>
    </row>
    <row r="802" spans="1:16" x14ac:dyDescent="0.25">
      <c r="A802"/>
      <c r="B802"/>
      <c r="C802"/>
      <c r="D802"/>
      <c r="E802"/>
      <c r="F802"/>
      <c r="G802"/>
      <c r="H802"/>
      <c r="I802"/>
      <c r="J802"/>
      <c r="K802"/>
      <c r="L802" s="14"/>
      <c r="M802"/>
      <c r="N802"/>
      <c r="O802"/>
      <c r="P802"/>
    </row>
    <row r="803" spans="1:16" x14ac:dyDescent="0.25">
      <c r="A803"/>
      <c r="B803"/>
      <c r="C803"/>
      <c r="D803"/>
      <c r="E803"/>
      <c r="F803"/>
      <c r="G803"/>
      <c r="H803"/>
      <c r="I803"/>
      <c r="J803"/>
      <c r="K803"/>
      <c r="L803" s="14"/>
      <c r="M803"/>
      <c r="N803"/>
      <c r="O803"/>
      <c r="P803"/>
    </row>
    <row r="804" spans="1:16" x14ac:dyDescent="0.25">
      <c r="A804"/>
      <c r="B804"/>
      <c r="C804"/>
      <c r="D804"/>
      <c r="E804"/>
      <c r="F804"/>
      <c r="G804"/>
      <c r="H804"/>
      <c r="I804"/>
      <c r="J804"/>
      <c r="K804"/>
      <c r="L804" s="14"/>
      <c r="M804"/>
      <c r="N804"/>
      <c r="O804"/>
      <c r="P804"/>
    </row>
    <row r="805" spans="1:16" x14ac:dyDescent="0.25">
      <c r="A805"/>
      <c r="B805"/>
      <c r="C805"/>
      <c r="D805"/>
      <c r="E805"/>
      <c r="F805"/>
      <c r="G805"/>
      <c r="H805"/>
      <c r="I805"/>
      <c r="J805"/>
      <c r="K805"/>
      <c r="L805" s="14"/>
      <c r="M805"/>
      <c r="N805"/>
      <c r="O805"/>
      <c r="P805"/>
    </row>
    <row r="806" spans="1:16" x14ac:dyDescent="0.25">
      <c r="A806"/>
      <c r="B806"/>
      <c r="C806"/>
      <c r="D806"/>
      <c r="E806"/>
      <c r="F806"/>
      <c r="G806"/>
      <c r="H806"/>
      <c r="I806"/>
      <c r="J806"/>
      <c r="K806"/>
      <c r="L806" s="14"/>
      <c r="M806"/>
      <c r="N806"/>
      <c r="O806"/>
      <c r="P806"/>
    </row>
    <row r="807" spans="1:16" x14ac:dyDescent="0.25">
      <c r="A807"/>
      <c r="B807"/>
      <c r="C807"/>
      <c r="D807"/>
      <c r="E807"/>
      <c r="F807"/>
      <c r="G807"/>
      <c r="H807"/>
      <c r="I807"/>
      <c r="J807"/>
      <c r="K807"/>
      <c r="L807" s="14"/>
      <c r="M807"/>
      <c r="N807"/>
      <c r="O807"/>
      <c r="P807"/>
    </row>
    <row r="808" spans="1:16" x14ac:dyDescent="0.25">
      <c r="A808"/>
      <c r="B808"/>
      <c r="C808"/>
      <c r="D808"/>
      <c r="E808"/>
      <c r="F808"/>
      <c r="G808"/>
      <c r="H808"/>
      <c r="I808"/>
      <c r="J808"/>
      <c r="K808"/>
      <c r="L808" s="14"/>
      <c r="M808"/>
      <c r="N808"/>
      <c r="O808"/>
      <c r="P808"/>
    </row>
    <row r="809" spans="1:16" x14ac:dyDescent="0.25">
      <c r="A809"/>
      <c r="B809"/>
      <c r="C809"/>
      <c r="D809"/>
      <c r="E809"/>
      <c r="F809"/>
      <c r="G809"/>
      <c r="H809"/>
      <c r="I809"/>
      <c r="J809"/>
      <c r="K809"/>
      <c r="L809" s="14"/>
      <c r="M809"/>
      <c r="N809"/>
      <c r="O809"/>
      <c r="P809"/>
    </row>
    <row r="810" spans="1:16" x14ac:dyDescent="0.25">
      <c r="A810"/>
      <c r="B810"/>
      <c r="C810"/>
      <c r="D810"/>
      <c r="E810"/>
      <c r="F810"/>
      <c r="G810"/>
      <c r="H810"/>
      <c r="I810"/>
      <c r="J810"/>
      <c r="K810"/>
      <c r="L810" s="14"/>
      <c r="M810"/>
      <c r="N810"/>
      <c r="O810"/>
      <c r="P810"/>
    </row>
    <row r="811" spans="1:16" x14ac:dyDescent="0.25">
      <c r="A811"/>
      <c r="B811"/>
      <c r="C811"/>
      <c r="D811"/>
      <c r="E811"/>
      <c r="F811"/>
      <c r="G811"/>
      <c r="H811"/>
      <c r="I811"/>
      <c r="J811"/>
      <c r="K811"/>
      <c r="L811" s="14"/>
      <c r="M811"/>
      <c r="N811"/>
      <c r="O811"/>
      <c r="P811"/>
    </row>
    <row r="812" spans="1:16" x14ac:dyDescent="0.25">
      <c r="A812"/>
      <c r="B812"/>
      <c r="C812"/>
      <c r="D812"/>
      <c r="E812"/>
      <c r="F812"/>
      <c r="G812"/>
      <c r="H812"/>
      <c r="I812"/>
      <c r="J812"/>
      <c r="K812"/>
      <c r="L812" s="14"/>
      <c r="M812"/>
      <c r="N812"/>
      <c r="O812"/>
      <c r="P812"/>
    </row>
    <row r="813" spans="1:16" x14ac:dyDescent="0.25">
      <c r="A813"/>
      <c r="B813"/>
      <c r="C813"/>
      <c r="D813"/>
      <c r="E813"/>
      <c r="F813"/>
      <c r="G813"/>
      <c r="H813"/>
      <c r="I813"/>
      <c r="J813"/>
      <c r="K813"/>
      <c r="L813" s="14"/>
      <c r="M813"/>
      <c r="N813"/>
      <c r="O813"/>
      <c r="P813"/>
    </row>
    <row r="814" spans="1:16" x14ac:dyDescent="0.25">
      <c r="A814"/>
      <c r="B814"/>
      <c r="C814"/>
      <c r="D814"/>
      <c r="E814"/>
      <c r="F814"/>
      <c r="G814"/>
      <c r="H814"/>
      <c r="I814"/>
      <c r="J814"/>
      <c r="K814"/>
      <c r="L814" s="14"/>
      <c r="M814"/>
      <c r="N814"/>
      <c r="O814"/>
      <c r="P814"/>
    </row>
    <row r="815" spans="1:16" x14ac:dyDescent="0.25">
      <c r="A815"/>
      <c r="B815"/>
      <c r="C815"/>
      <c r="D815"/>
      <c r="E815"/>
      <c r="F815"/>
      <c r="G815"/>
      <c r="H815"/>
      <c r="I815"/>
      <c r="J815"/>
      <c r="K815"/>
      <c r="L815" s="14"/>
      <c r="M815"/>
      <c r="N815"/>
      <c r="O815"/>
      <c r="P815"/>
    </row>
    <row r="816" spans="1:16" x14ac:dyDescent="0.25">
      <c r="A816"/>
      <c r="B816"/>
      <c r="C816"/>
      <c r="D816"/>
      <c r="E816"/>
      <c r="F816"/>
      <c r="G816"/>
      <c r="H816"/>
      <c r="I816"/>
      <c r="J816"/>
      <c r="K816"/>
      <c r="L816" s="14"/>
      <c r="M816"/>
      <c r="N816"/>
      <c r="O816"/>
      <c r="P816"/>
    </row>
    <row r="817" spans="1:16" x14ac:dyDescent="0.25">
      <c r="A817"/>
      <c r="B817"/>
      <c r="C817"/>
      <c r="D817"/>
      <c r="E817"/>
      <c r="F817"/>
      <c r="G817"/>
      <c r="H817"/>
      <c r="I817"/>
      <c r="J817"/>
      <c r="K817"/>
      <c r="L817" s="14"/>
      <c r="M817"/>
      <c r="N817"/>
      <c r="O817"/>
      <c r="P817"/>
    </row>
    <row r="818" spans="1:16" x14ac:dyDescent="0.25">
      <c r="A818"/>
      <c r="B818"/>
      <c r="C818"/>
      <c r="D818"/>
      <c r="E818"/>
      <c r="F818"/>
      <c r="G818"/>
      <c r="H818"/>
      <c r="I818"/>
      <c r="J818"/>
      <c r="K818"/>
      <c r="L818" s="14"/>
      <c r="M818"/>
      <c r="N818"/>
      <c r="O818"/>
      <c r="P818"/>
    </row>
    <row r="819" spans="1:16" x14ac:dyDescent="0.25">
      <c r="A819"/>
      <c r="B819"/>
      <c r="C819"/>
      <c r="D819"/>
      <c r="E819"/>
      <c r="F819"/>
      <c r="G819"/>
      <c r="H819"/>
      <c r="I819"/>
      <c r="J819"/>
      <c r="K819"/>
      <c r="L819" s="14"/>
      <c r="M819"/>
      <c r="N819"/>
      <c r="O819"/>
      <c r="P819"/>
    </row>
    <row r="820" spans="1:16" x14ac:dyDescent="0.25">
      <c r="A820"/>
      <c r="B820"/>
      <c r="C820"/>
      <c r="D820"/>
      <c r="E820"/>
      <c r="F820"/>
      <c r="G820"/>
      <c r="H820"/>
      <c r="I820"/>
      <c r="J820"/>
      <c r="K820"/>
      <c r="L820" s="14"/>
      <c r="M820"/>
      <c r="N820"/>
      <c r="O820"/>
      <c r="P820"/>
    </row>
    <row r="821" spans="1:16" x14ac:dyDescent="0.25">
      <c r="A821"/>
      <c r="B821"/>
      <c r="C821"/>
      <c r="D821"/>
      <c r="E821"/>
      <c r="F821"/>
      <c r="G821"/>
      <c r="H821"/>
      <c r="I821"/>
      <c r="J821"/>
      <c r="K821"/>
      <c r="L821" s="14"/>
      <c r="M821"/>
      <c r="N821"/>
      <c r="O821"/>
      <c r="P821"/>
    </row>
    <row r="822" spans="1:16" x14ac:dyDescent="0.25">
      <c r="A822"/>
      <c r="B822"/>
      <c r="C822"/>
      <c r="D822"/>
      <c r="E822"/>
      <c r="F822"/>
      <c r="G822"/>
      <c r="H822"/>
      <c r="I822"/>
      <c r="J822"/>
      <c r="K822"/>
      <c r="L822" s="14"/>
      <c r="M822"/>
      <c r="N822"/>
      <c r="O822"/>
      <c r="P822"/>
    </row>
    <row r="823" spans="1:16" x14ac:dyDescent="0.25">
      <c r="A823"/>
      <c r="B823"/>
      <c r="C823"/>
      <c r="D823"/>
      <c r="E823"/>
      <c r="F823"/>
      <c r="G823"/>
      <c r="H823"/>
      <c r="I823"/>
      <c r="J823"/>
      <c r="K823"/>
      <c r="L823" s="14"/>
      <c r="M823"/>
      <c r="N823"/>
      <c r="O823"/>
      <c r="P823"/>
    </row>
    <row r="824" spans="1:16" x14ac:dyDescent="0.25">
      <c r="A824"/>
      <c r="B824"/>
      <c r="C824"/>
      <c r="D824"/>
      <c r="E824"/>
      <c r="F824"/>
      <c r="G824"/>
      <c r="H824"/>
      <c r="I824"/>
      <c r="J824"/>
      <c r="K824"/>
      <c r="L824" s="14"/>
      <c r="M824"/>
      <c r="N824"/>
      <c r="O824"/>
      <c r="P824"/>
    </row>
    <row r="825" spans="1:16" x14ac:dyDescent="0.25">
      <c r="A825"/>
      <c r="B825"/>
      <c r="C825"/>
      <c r="D825"/>
      <c r="E825"/>
      <c r="F825"/>
      <c r="G825"/>
      <c r="H825"/>
      <c r="I825"/>
      <c r="J825"/>
      <c r="K825"/>
      <c r="L825" s="14"/>
      <c r="M825"/>
      <c r="N825"/>
      <c r="O825"/>
      <c r="P825"/>
    </row>
    <row r="826" spans="1:16" x14ac:dyDescent="0.25">
      <c r="A826"/>
      <c r="B826"/>
      <c r="C826"/>
      <c r="D826"/>
      <c r="E826"/>
      <c r="F826"/>
      <c r="G826"/>
      <c r="H826"/>
      <c r="I826"/>
      <c r="J826"/>
      <c r="K826"/>
      <c r="L826" s="14"/>
      <c r="M826"/>
      <c r="N826"/>
      <c r="O826"/>
      <c r="P826"/>
    </row>
    <row r="827" spans="1:16" x14ac:dyDescent="0.25">
      <c r="A827"/>
      <c r="B827"/>
      <c r="C827"/>
      <c r="D827"/>
      <c r="E827"/>
      <c r="F827"/>
      <c r="G827"/>
      <c r="H827"/>
      <c r="I827"/>
      <c r="J827"/>
      <c r="K827"/>
      <c r="L827" s="14"/>
      <c r="M827"/>
      <c r="N827"/>
      <c r="O827"/>
      <c r="P827"/>
    </row>
    <row r="828" spans="1:16" x14ac:dyDescent="0.25">
      <c r="A828"/>
      <c r="B828"/>
      <c r="C828"/>
      <c r="D828"/>
      <c r="E828"/>
      <c r="F828"/>
      <c r="G828"/>
      <c r="H828"/>
      <c r="I828"/>
      <c r="J828"/>
      <c r="K828"/>
      <c r="L828" s="14"/>
      <c r="M828"/>
      <c r="N828"/>
      <c r="O828"/>
      <c r="P828"/>
    </row>
    <row r="829" spans="1:16" x14ac:dyDescent="0.25">
      <c r="A829"/>
      <c r="B829"/>
      <c r="C829"/>
      <c r="D829"/>
      <c r="E829"/>
      <c r="F829"/>
      <c r="G829"/>
      <c r="H829"/>
      <c r="I829"/>
      <c r="J829"/>
      <c r="K829"/>
      <c r="L829" s="14"/>
      <c r="M829"/>
      <c r="N829"/>
      <c r="O829"/>
      <c r="P829"/>
    </row>
    <row r="830" spans="1:16" x14ac:dyDescent="0.25">
      <c r="A830"/>
      <c r="B830"/>
      <c r="C830"/>
      <c r="D830"/>
      <c r="E830"/>
      <c r="F830"/>
      <c r="G830"/>
      <c r="H830"/>
      <c r="I830"/>
      <c r="J830"/>
      <c r="K830"/>
      <c r="L830" s="14"/>
      <c r="M830"/>
      <c r="N830"/>
      <c r="O830"/>
      <c r="P830"/>
    </row>
    <row r="831" spans="1:16" x14ac:dyDescent="0.25">
      <c r="A831"/>
      <c r="B831"/>
      <c r="C831"/>
      <c r="D831"/>
      <c r="E831"/>
      <c r="F831"/>
      <c r="G831"/>
      <c r="H831"/>
      <c r="I831"/>
      <c r="J831"/>
      <c r="K831"/>
      <c r="L831" s="14"/>
      <c r="M831"/>
      <c r="N831"/>
      <c r="O831"/>
      <c r="P831"/>
    </row>
    <row r="832" spans="1:16" x14ac:dyDescent="0.25">
      <c r="A832"/>
      <c r="B832"/>
      <c r="C832"/>
      <c r="D832"/>
      <c r="E832"/>
      <c r="F832"/>
      <c r="G832"/>
      <c r="H832"/>
      <c r="I832"/>
      <c r="J832"/>
      <c r="K832"/>
      <c r="L832" s="14"/>
      <c r="M832"/>
      <c r="N832"/>
      <c r="O832"/>
      <c r="P832"/>
    </row>
    <row r="833" spans="1:16" x14ac:dyDescent="0.25">
      <c r="A833"/>
      <c r="B833"/>
      <c r="C833"/>
      <c r="D833"/>
      <c r="E833"/>
      <c r="F833"/>
      <c r="G833"/>
      <c r="H833"/>
      <c r="I833"/>
      <c r="J833"/>
      <c r="K833"/>
      <c r="L833" s="14"/>
      <c r="M833"/>
      <c r="N833"/>
      <c r="O833"/>
      <c r="P833"/>
    </row>
    <row r="834" spans="1:16" x14ac:dyDescent="0.25">
      <c r="A834"/>
      <c r="B834"/>
      <c r="C834"/>
      <c r="D834"/>
      <c r="E834"/>
      <c r="F834"/>
      <c r="G834"/>
      <c r="H834"/>
      <c r="I834"/>
      <c r="J834"/>
      <c r="K834"/>
      <c r="L834" s="14"/>
      <c r="M834"/>
      <c r="N834"/>
      <c r="O834"/>
      <c r="P834"/>
    </row>
    <row r="835" spans="1:16" x14ac:dyDescent="0.25">
      <c r="A835"/>
      <c r="B835"/>
      <c r="C835"/>
      <c r="D835"/>
      <c r="E835"/>
      <c r="F835"/>
      <c r="G835"/>
      <c r="H835"/>
      <c r="I835"/>
      <c r="J835"/>
      <c r="K835"/>
      <c r="L835" s="14"/>
      <c r="M835"/>
      <c r="N835"/>
      <c r="O835"/>
      <c r="P835"/>
    </row>
    <row r="836" spans="1:16" x14ac:dyDescent="0.25">
      <c r="A836"/>
      <c r="B836"/>
      <c r="C836"/>
      <c r="D836"/>
      <c r="E836"/>
      <c r="F836"/>
      <c r="G836"/>
      <c r="H836"/>
      <c r="I836"/>
      <c r="J836"/>
      <c r="K836"/>
      <c r="L836" s="14"/>
      <c r="M836"/>
      <c r="N836"/>
      <c r="O836"/>
      <c r="P836"/>
    </row>
    <row r="837" spans="1:16" x14ac:dyDescent="0.25">
      <c r="A837"/>
      <c r="B837"/>
      <c r="C837"/>
      <c r="D837"/>
      <c r="E837"/>
      <c r="F837"/>
      <c r="G837"/>
      <c r="H837"/>
      <c r="I837"/>
      <c r="J837"/>
      <c r="K837"/>
      <c r="L837" s="14"/>
      <c r="M837"/>
      <c r="N837"/>
      <c r="O837"/>
      <c r="P837"/>
    </row>
    <row r="838" spans="1:16" x14ac:dyDescent="0.25">
      <c r="A838"/>
      <c r="B838"/>
      <c r="C838"/>
      <c r="D838"/>
      <c r="E838"/>
      <c r="F838"/>
      <c r="G838"/>
      <c r="H838"/>
      <c r="I838"/>
      <c r="J838"/>
      <c r="K838"/>
      <c r="L838" s="14"/>
      <c r="M838"/>
      <c r="N838"/>
      <c r="O838"/>
      <c r="P838"/>
    </row>
    <row r="839" spans="1:16" x14ac:dyDescent="0.25">
      <c r="A839"/>
      <c r="B839"/>
      <c r="C839"/>
      <c r="D839"/>
      <c r="E839"/>
      <c r="F839"/>
      <c r="G839"/>
      <c r="H839"/>
      <c r="I839"/>
      <c r="J839"/>
      <c r="K839"/>
      <c r="L839" s="14"/>
      <c r="M839"/>
      <c r="N839"/>
      <c r="O839"/>
      <c r="P839"/>
    </row>
    <row r="840" spans="1:16" x14ac:dyDescent="0.25">
      <c r="A840"/>
      <c r="B840"/>
      <c r="C840"/>
      <c r="D840"/>
      <c r="E840"/>
      <c r="F840"/>
      <c r="G840"/>
      <c r="H840"/>
      <c r="I840"/>
      <c r="J840"/>
      <c r="K840"/>
      <c r="L840" s="14"/>
      <c r="M840"/>
      <c r="N840"/>
      <c r="O840"/>
      <c r="P840"/>
    </row>
    <row r="841" spans="1:16" x14ac:dyDescent="0.25">
      <c r="A841"/>
      <c r="B841"/>
      <c r="C841"/>
      <c r="D841"/>
      <c r="E841"/>
      <c r="F841"/>
      <c r="G841"/>
      <c r="H841"/>
      <c r="I841"/>
      <c r="J841"/>
      <c r="K841"/>
      <c r="L841" s="14"/>
      <c r="M841"/>
      <c r="N841"/>
      <c r="O841"/>
      <c r="P841"/>
    </row>
    <row r="842" spans="1:16" x14ac:dyDescent="0.25">
      <c r="A842"/>
      <c r="B842"/>
      <c r="C842"/>
      <c r="D842"/>
      <c r="E842"/>
      <c r="F842"/>
      <c r="G842"/>
      <c r="H842"/>
      <c r="I842"/>
      <c r="J842"/>
      <c r="K842"/>
      <c r="L842" s="14"/>
      <c r="M842"/>
      <c r="N842"/>
      <c r="O842"/>
      <c r="P842"/>
    </row>
    <row r="843" spans="1:16" x14ac:dyDescent="0.25">
      <c r="A843"/>
      <c r="B843"/>
      <c r="C843"/>
      <c r="D843"/>
      <c r="E843"/>
      <c r="F843"/>
      <c r="G843"/>
      <c r="H843"/>
      <c r="I843"/>
      <c r="J843"/>
      <c r="K843"/>
      <c r="L843" s="14"/>
      <c r="M843"/>
      <c r="N843"/>
      <c r="O843"/>
      <c r="P843"/>
    </row>
    <row r="844" spans="1:16" x14ac:dyDescent="0.25">
      <c r="A844"/>
      <c r="B844"/>
      <c r="C844"/>
      <c r="D844"/>
      <c r="E844"/>
      <c r="F844"/>
      <c r="G844"/>
      <c r="H844"/>
      <c r="I844"/>
      <c r="J844"/>
      <c r="K844"/>
      <c r="L844" s="14"/>
      <c r="M844"/>
      <c r="N844"/>
      <c r="O844"/>
      <c r="P844"/>
    </row>
    <row r="845" spans="1:16" x14ac:dyDescent="0.25">
      <c r="A845"/>
      <c r="B845"/>
      <c r="C845"/>
      <c r="D845"/>
      <c r="E845"/>
      <c r="F845"/>
      <c r="G845"/>
      <c r="H845"/>
      <c r="I845"/>
      <c r="J845"/>
      <c r="K845"/>
      <c r="L845" s="14"/>
      <c r="M845"/>
      <c r="N845"/>
      <c r="O845"/>
      <c r="P845"/>
    </row>
    <row r="846" spans="1:16" x14ac:dyDescent="0.25">
      <c r="A846"/>
      <c r="B846"/>
      <c r="C846"/>
      <c r="D846"/>
      <c r="E846"/>
      <c r="F846"/>
      <c r="G846"/>
      <c r="H846"/>
      <c r="I846"/>
      <c r="J846"/>
      <c r="K846"/>
      <c r="L846" s="14"/>
      <c r="M846"/>
      <c r="N846"/>
      <c r="O846"/>
      <c r="P846"/>
    </row>
    <row r="847" spans="1:16" x14ac:dyDescent="0.25">
      <c r="A847"/>
      <c r="B847"/>
      <c r="C847"/>
      <c r="D847"/>
      <c r="E847"/>
      <c r="F847"/>
      <c r="G847"/>
      <c r="H847"/>
      <c r="I847"/>
      <c r="J847"/>
      <c r="K847"/>
      <c r="L847" s="14"/>
      <c r="M847"/>
      <c r="N847"/>
      <c r="O847"/>
      <c r="P847"/>
    </row>
    <row r="848" spans="1:16" x14ac:dyDescent="0.25">
      <c r="A848"/>
      <c r="B848"/>
      <c r="C848"/>
      <c r="D848"/>
      <c r="E848"/>
      <c r="F848"/>
      <c r="G848"/>
      <c r="H848"/>
      <c r="I848"/>
      <c r="J848"/>
      <c r="K848"/>
      <c r="L848" s="14"/>
      <c r="M848"/>
      <c r="N848"/>
      <c r="O848"/>
      <c r="P848"/>
    </row>
    <row r="849" spans="1:16" x14ac:dyDescent="0.25">
      <c r="A849"/>
      <c r="B849"/>
      <c r="C849"/>
      <c r="D849"/>
      <c r="E849"/>
      <c r="F849"/>
      <c r="G849"/>
      <c r="H849"/>
      <c r="I849"/>
      <c r="J849"/>
      <c r="K849"/>
      <c r="L849" s="14"/>
      <c r="M849"/>
      <c r="N849"/>
      <c r="O849"/>
      <c r="P849"/>
    </row>
    <row r="850" spans="1:16" x14ac:dyDescent="0.25">
      <c r="A850"/>
      <c r="B850"/>
      <c r="C850"/>
      <c r="D850"/>
      <c r="E850"/>
      <c r="F850"/>
      <c r="G850"/>
      <c r="H850"/>
      <c r="I850"/>
      <c r="J850"/>
      <c r="K850"/>
      <c r="L850" s="14"/>
      <c r="M850"/>
      <c r="N850"/>
      <c r="O850"/>
      <c r="P850"/>
    </row>
    <row r="851" spans="1:16" x14ac:dyDescent="0.25">
      <c r="A851"/>
      <c r="B851"/>
      <c r="C851"/>
      <c r="D851"/>
      <c r="E851"/>
      <c r="F851"/>
      <c r="G851"/>
      <c r="H851"/>
      <c r="I851"/>
      <c r="J851"/>
      <c r="K851"/>
      <c r="L851" s="14"/>
      <c r="M851"/>
      <c r="N851"/>
      <c r="O851"/>
      <c r="P851"/>
    </row>
    <row r="852" spans="1:16" x14ac:dyDescent="0.25">
      <c r="A852"/>
      <c r="B852"/>
      <c r="C852"/>
      <c r="D852"/>
      <c r="E852"/>
      <c r="F852"/>
      <c r="G852"/>
      <c r="H852"/>
      <c r="I852"/>
      <c r="J852"/>
      <c r="K852"/>
      <c r="L852" s="14"/>
      <c r="M852"/>
      <c r="N852"/>
      <c r="O852"/>
      <c r="P852"/>
    </row>
    <row r="853" spans="1:16" x14ac:dyDescent="0.25">
      <c r="A853"/>
      <c r="B853"/>
      <c r="C853"/>
      <c r="D853"/>
      <c r="E853"/>
      <c r="F853"/>
      <c r="G853"/>
      <c r="H853"/>
      <c r="I853"/>
      <c r="J853"/>
      <c r="K853"/>
      <c r="L853" s="14"/>
      <c r="M853"/>
      <c r="N853"/>
      <c r="O853"/>
      <c r="P853"/>
    </row>
    <row r="854" spans="1:16" x14ac:dyDescent="0.25">
      <c r="A854"/>
      <c r="B854"/>
      <c r="C854"/>
      <c r="D854"/>
      <c r="E854"/>
      <c r="F854"/>
      <c r="G854"/>
      <c r="H854"/>
      <c r="I854"/>
      <c r="J854"/>
      <c r="K854"/>
      <c r="L854" s="14"/>
      <c r="M854"/>
      <c r="N854"/>
      <c r="O854"/>
      <c r="P854"/>
    </row>
    <row r="855" spans="1:16" x14ac:dyDescent="0.25">
      <c r="A855"/>
      <c r="B855"/>
      <c r="C855"/>
      <c r="D855"/>
      <c r="E855"/>
      <c r="F855"/>
      <c r="G855"/>
      <c r="H855"/>
      <c r="I855"/>
      <c r="J855"/>
      <c r="K855"/>
      <c r="L855" s="14"/>
      <c r="M855"/>
      <c r="N855"/>
      <c r="O855"/>
      <c r="P855"/>
    </row>
    <row r="856" spans="1:16" x14ac:dyDescent="0.25">
      <c r="A856"/>
      <c r="B856"/>
      <c r="C856"/>
      <c r="D856"/>
      <c r="E856"/>
      <c r="F856"/>
      <c r="G856"/>
      <c r="H856"/>
      <c r="I856"/>
      <c r="J856"/>
      <c r="K856"/>
      <c r="L856" s="14"/>
      <c r="M856"/>
      <c r="N856"/>
      <c r="O856"/>
      <c r="P856"/>
    </row>
    <row r="857" spans="1:16" x14ac:dyDescent="0.25">
      <c r="A857"/>
      <c r="B857"/>
      <c r="C857"/>
      <c r="D857"/>
      <c r="E857"/>
      <c r="F857"/>
      <c r="G857"/>
      <c r="H857"/>
      <c r="I857"/>
      <c r="J857"/>
      <c r="K857"/>
      <c r="L857" s="14"/>
      <c r="M857"/>
      <c r="N857"/>
      <c r="O857"/>
      <c r="P857"/>
    </row>
    <row r="858" spans="1:16" x14ac:dyDescent="0.25">
      <c r="A858"/>
      <c r="B858"/>
      <c r="C858"/>
      <c r="D858"/>
      <c r="E858"/>
      <c r="F858"/>
      <c r="G858"/>
      <c r="H858"/>
      <c r="I858"/>
      <c r="J858"/>
      <c r="K858"/>
      <c r="L858" s="14"/>
      <c r="M858"/>
      <c r="N858"/>
      <c r="O858"/>
      <c r="P858"/>
    </row>
    <row r="859" spans="1:16" x14ac:dyDescent="0.25">
      <c r="A859"/>
      <c r="B859"/>
      <c r="C859"/>
      <c r="D859"/>
      <c r="E859"/>
      <c r="F859"/>
      <c r="G859"/>
      <c r="H859"/>
      <c r="I859"/>
      <c r="J859"/>
      <c r="K859"/>
      <c r="L859" s="14"/>
      <c r="M859"/>
      <c r="N859"/>
      <c r="O859"/>
      <c r="P859"/>
    </row>
    <row r="860" spans="1:16" x14ac:dyDescent="0.25">
      <c r="A860"/>
      <c r="B860"/>
      <c r="C860"/>
      <c r="D860"/>
      <c r="E860"/>
      <c r="F860"/>
      <c r="G860"/>
      <c r="H860"/>
      <c r="I860"/>
      <c r="J860"/>
      <c r="K860"/>
      <c r="L860" s="14"/>
      <c r="M860"/>
      <c r="N860"/>
      <c r="O860"/>
      <c r="P860"/>
    </row>
    <row r="861" spans="1:16" x14ac:dyDescent="0.25">
      <c r="A861"/>
      <c r="B861"/>
      <c r="C861"/>
      <c r="D861"/>
      <c r="E861"/>
      <c r="F861"/>
      <c r="G861"/>
      <c r="H861"/>
      <c r="I861"/>
      <c r="J861"/>
      <c r="K861"/>
      <c r="L861" s="14"/>
      <c r="M861"/>
      <c r="N861"/>
      <c r="O861"/>
      <c r="P861"/>
    </row>
    <row r="862" spans="1:16" x14ac:dyDescent="0.25">
      <c r="A862"/>
      <c r="B862"/>
      <c r="C862"/>
      <c r="D862"/>
      <c r="E862"/>
      <c r="F862"/>
      <c r="G862"/>
      <c r="H862"/>
      <c r="I862"/>
      <c r="J862"/>
      <c r="K862"/>
      <c r="L862" s="14"/>
      <c r="M862"/>
      <c r="N862"/>
      <c r="O862"/>
      <c r="P862"/>
    </row>
    <row r="863" spans="1:16" x14ac:dyDescent="0.25">
      <c r="A863"/>
      <c r="B863"/>
      <c r="C863"/>
      <c r="D863"/>
      <c r="E863"/>
      <c r="F863"/>
      <c r="G863"/>
      <c r="H863"/>
      <c r="I863"/>
      <c r="J863"/>
      <c r="K863"/>
      <c r="L863" s="14"/>
      <c r="M863"/>
      <c r="N863"/>
      <c r="O863"/>
      <c r="P863"/>
    </row>
    <row r="864" spans="1:16" x14ac:dyDescent="0.25">
      <c r="A864"/>
      <c r="B864"/>
      <c r="C864"/>
      <c r="D864"/>
      <c r="E864"/>
      <c r="F864"/>
      <c r="G864"/>
      <c r="H864"/>
      <c r="I864"/>
      <c r="J864"/>
      <c r="K864"/>
      <c r="L864" s="14"/>
      <c r="M864"/>
      <c r="N864"/>
      <c r="O864"/>
      <c r="P864"/>
    </row>
    <row r="865" spans="1:16" x14ac:dyDescent="0.25">
      <c r="A865"/>
      <c r="B865"/>
      <c r="C865"/>
      <c r="D865"/>
      <c r="E865"/>
      <c r="F865"/>
      <c r="G865"/>
      <c r="H865"/>
      <c r="I865"/>
      <c r="J865"/>
      <c r="K865"/>
      <c r="L865" s="14"/>
      <c r="M865"/>
      <c r="N865"/>
      <c r="O865"/>
      <c r="P865"/>
    </row>
    <row r="866" spans="1:16" x14ac:dyDescent="0.25">
      <c r="A866"/>
      <c r="B866"/>
      <c r="C866"/>
      <c r="D866"/>
      <c r="E866"/>
      <c r="F866"/>
      <c r="G866"/>
      <c r="H866"/>
      <c r="I866"/>
      <c r="J866"/>
      <c r="K866"/>
      <c r="L866" s="14"/>
      <c r="M866"/>
      <c r="N866"/>
      <c r="O866"/>
      <c r="P866"/>
    </row>
    <row r="867" spans="1:16" x14ac:dyDescent="0.25">
      <c r="A867"/>
      <c r="B867"/>
      <c r="C867"/>
      <c r="D867"/>
      <c r="E867"/>
      <c r="F867"/>
      <c r="G867"/>
      <c r="H867"/>
      <c r="I867"/>
      <c r="J867"/>
      <c r="K867"/>
      <c r="L867" s="14"/>
      <c r="M867"/>
      <c r="N867"/>
      <c r="O867"/>
      <c r="P867"/>
    </row>
    <row r="868" spans="1:16" x14ac:dyDescent="0.25">
      <c r="A868"/>
      <c r="B868"/>
      <c r="C868"/>
      <c r="D868"/>
      <c r="E868"/>
      <c r="F868"/>
      <c r="G868"/>
      <c r="H868"/>
      <c r="I868"/>
      <c r="J868"/>
      <c r="K868"/>
      <c r="L868" s="14"/>
      <c r="M868"/>
      <c r="N868"/>
      <c r="O868"/>
      <c r="P868"/>
    </row>
    <row r="869" spans="1:16" x14ac:dyDescent="0.25">
      <c r="A869"/>
      <c r="B869"/>
      <c r="C869"/>
      <c r="D869"/>
      <c r="E869"/>
      <c r="F869"/>
      <c r="G869"/>
      <c r="H869"/>
      <c r="I869"/>
      <c r="J869"/>
      <c r="K869"/>
      <c r="L869" s="14"/>
      <c r="M869"/>
      <c r="N869"/>
      <c r="O869"/>
      <c r="P869"/>
    </row>
    <row r="870" spans="1:16" x14ac:dyDescent="0.25">
      <c r="A870"/>
      <c r="B870"/>
      <c r="C870"/>
      <c r="D870"/>
      <c r="E870"/>
      <c r="F870"/>
      <c r="G870"/>
      <c r="H870"/>
      <c r="I870"/>
      <c r="J870"/>
      <c r="K870"/>
      <c r="L870" s="14"/>
      <c r="M870"/>
      <c r="N870"/>
      <c r="O870"/>
      <c r="P870"/>
    </row>
    <row r="871" spans="1:16" x14ac:dyDescent="0.25">
      <c r="A871"/>
      <c r="B871"/>
      <c r="C871"/>
      <c r="D871"/>
      <c r="E871"/>
      <c r="F871"/>
      <c r="G871"/>
      <c r="H871"/>
      <c r="I871"/>
      <c r="J871"/>
      <c r="K871"/>
      <c r="L871" s="14"/>
      <c r="M871"/>
      <c r="N871"/>
      <c r="O871"/>
      <c r="P871"/>
    </row>
    <row r="872" spans="1:16" x14ac:dyDescent="0.25">
      <c r="A872"/>
      <c r="B872"/>
      <c r="C872"/>
      <c r="D872"/>
      <c r="E872"/>
      <c r="F872"/>
      <c r="G872"/>
      <c r="H872"/>
      <c r="I872"/>
      <c r="J872"/>
      <c r="K872"/>
      <c r="L872" s="14"/>
      <c r="M872"/>
      <c r="N872"/>
      <c r="O872"/>
      <c r="P872"/>
    </row>
    <row r="873" spans="1:16" x14ac:dyDescent="0.25">
      <c r="A873"/>
      <c r="B873"/>
      <c r="C873"/>
      <c r="D873"/>
      <c r="E873"/>
      <c r="F873"/>
      <c r="G873"/>
      <c r="H873"/>
      <c r="I873"/>
      <c r="J873"/>
      <c r="K873"/>
      <c r="L873" s="14"/>
      <c r="M873"/>
      <c r="N873"/>
      <c r="O873"/>
      <c r="P873"/>
    </row>
    <row r="874" spans="1:16" x14ac:dyDescent="0.25">
      <c r="A874"/>
      <c r="B874"/>
      <c r="C874"/>
      <c r="D874"/>
      <c r="E874"/>
      <c r="F874"/>
      <c r="G874"/>
      <c r="H874"/>
      <c r="I874"/>
      <c r="J874"/>
      <c r="K874"/>
      <c r="L874" s="14"/>
      <c r="M874"/>
      <c r="N874"/>
      <c r="O874"/>
      <c r="P874"/>
    </row>
    <row r="875" spans="1:16" x14ac:dyDescent="0.25">
      <c r="A875"/>
      <c r="B875"/>
      <c r="C875"/>
      <c r="D875"/>
      <c r="E875"/>
      <c r="F875"/>
      <c r="G875"/>
      <c r="H875"/>
      <c r="I875"/>
      <c r="J875"/>
      <c r="K875"/>
      <c r="L875" s="14"/>
      <c r="M875"/>
      <c r="N875"/>
      <c r="O875"/>
      <c r="P875"/>
    </row>
    <row r="876" spans="1:16" x14ac:dyDescent="0.25">
      <c r="A876"/>
      <c r="B876"/>
      <c r="C876"/>
      <c r="D876"/>
      <c r="E876"/>
      <c r="F876"/>
      <c r="G876"/>
      <c r="H876"/>
      <c r="I876"/>
      <c r="J876"/>
      <c r="K876"/>
      <c r="L876" s="14"/>
      <c r="M876"/>
      <c r="N876"/>
      <c r="O876"/>
      <c r="P876"/>
    </row>
    <row r="877" spans="1:16" x14ac:dyDescent="0.25">
      <c r="A877"/>
      <c r="B877"/>
      <c r="C877"/>
      <c r="D877"/>
      <c r="E877"/>
      <c r="F877"/>
      <c r="G877"/>
      <c r="H877"/>
      <c r="I877"/>
      <c r="J877"/>
      <c r="K877"/>
      <c r="L877" s="14"/>
      <c r="M877"/>
      <c r="N877"/>
      <c r="O877"/>
      <c r="P877"/>
    </row>
    <row r="878" spans="1:16" x14ac:dyDescent="0.25">
      <c r="A878"/>
      <c r="B878"/>
      <c r="C878"/>
      <c r="D878"/>
      <c r="E878"/>
      <c r="F878"/>
      <c r="G878"/>
      <c r="H878"/>
      <c r="I878"/>
      <c r="J878"/>
      <c r="K878"/>
      <c r="L878" s="14"/>
      <c r="M878"/>
      <c r="N878"/>
      <c r="O878"/>
      <c r="P878"/>
    </row>
    <row r="879" spans="1:16" x14ac:dyDescent="0.25">
      <c r="A879"/>
      <c r="B879"/>
      <c r="C879"/>
      <c r="D879"/>
      <c r="E879"/>
      <c r="F879"/>
      <c r="G879"/>
      <c r="H879"/>
      <c r="I879"/>
      <c r="J879"/>
      <c r="K879"/>
      <c r="L879" s="14"/>
      <c r="M879"/>
      <c r="N879"/>
      <c r="O879"/>
      <c r="P879"/>
    </row>
    <row r="880" spans="1:16" x14ac:dyDescent="0.25">
      <c r="A880"/>
      <c r="B880"/>
      <c r="C880"/>
      <c r="D880"/>
      <c r="E880"/>
      <c r="F880"/>
      <c r="G880"/>
      <c r="H880"/>
      <c r="I880"/>
      <c r="J880"/>
      <c r="K880"/>
      <c r="L880" s="14"/>
      <c r="M880"/>
      <c r="N880"/>
      <c r="O880"/>
      <c r="P880"/>
    </row>
    <row r="881" spans="1:16" x14ac:dyDescent="0.25">
      <c r="A881"/>
      <c r="B881"/>
      <c r="C881"/>
      <c r="D881"/>
      <c r="E881"/>
      <c r="F881"/>
      <c r="G881"/>
      <c r="H881"/>
      <c r="I881"/>
      <c r="J881"/>
      <c r="K881"/>
      <c r="L881" s="14"/>
      <c r="M881"/>
      <c r="N881"/>
      <c r="O881"/>
      <c r="P881"/>
    </row>
    <row r="882" spans="1:16" x14ac:dyDescent="0.25">
      <c r="A882"/>
      <c r="B882"/>
      <c r="C882"/>
      <c r="D882"/>
      <c r="E882"/>
      <c r="F882"/>
      <c r="G882"/>
      <c r="H882"/>
      <c r="I882"/>
      <c r="J882"/>
      <c r="K882"/>
      <c r="L882" s="14"/>
      <c r="M882"/>
      <c r="N882"/>
      <c r="O882"/>
      <c r="P882"/>
    </row>
    <row r="883" spans="1:16" x14ac:dyDescent="0.25">
      <c r="A883"/>
      <c r="B883"/>
      <c r="C883"/>
      <c r="D883"/>
      <c r="E883"/>
      <c r="F883"/>
      <c r="G883"/>
      <c r="H883"/>
      <c r="I883"/>
      <c r="J883"/>
      <c r="K883"/>
      <c r="L883" s="14"/>
      <c r="M883"/>
      <c r="N883"/>
      <c r="O883"/>
      <c r="P883"/>
    </row>
    <row r="884" spans="1:16" x14ac:dyDescent="0.25">
      <c r="A884"/>
      <c r="B884"/>
      <c r="C884"/>
      <c r="D884"/>
      <c r="E884"/>
      <c r="F884"/>
      <c r="G884"/>
      <c r="H884"/>
      <c r="I884"/>
      <c r="J884"/>
      <c r="K884"/>
      <c r="L884" s="14"/>
      <c r="M884"/>
      <c r="N884"/>
      <c r="O884"/>
      <c r="P884"/>
    </row>
    <row r="885" spans="1:16" x14ac:dyDescent="0.25">
      <c r="A885"/>
      <c r="B885"/>
      <c r="C885"/>
      <c r="D885"/>
      <c r="E885"/>
      <c r="F885"/>
      <c r="G885"/>
      <c r="H885"/>
      <c r="I885"/>
      <c r="J885"/>
      <c r="K885"/>
      <c r="L885" s="14"/>
      <c r="M885"/>
      <c r="N885"/>
      <c r="O885"/>
      <c r="P885"/>
    </row>
    <row r="886" spans="1:16" x14ac:dyDescent="0.25">
      <c r="A886"/>
      <c r="B886"/>
      <c r="C886"/>
      <c r="D886"/>
      <c r="E886"/>
      <c r="F886"/>
      <c r="G886"/>
      <c r="H886"/>
      <c r="I886"/>
      <c r="J886"/>
      <c r="K886"/>
      <c r="L886" s="14"/>
      <c r="M886"/>
      <c r="N886"/>
      <c r="O886"/>
      <c r="P886"/>
    </row>
    <row r="887" spans="1:16" x14ac:dyDescent="0.25">
      <c r="A887"/>
      <c r="B887"/>
      <c r="C887"/>
      <c r="D887"/>
      <c r="E887"/>
      <c r="F887"/>
      <c r="G887"/>
      <c r="H887"/>
      <c r="I887"/>
      <c r="J887"/>
      <c r="K887"/>
      <c r="L887" s="14"/>
      <c r="M887"/>
      <c r="N887"/>
      <c r="O887"/>
      <c r="P887"/>
    </row>
    <row r="888" spans="1:16" x14ac:dyDescent="0.25">
      <c r="A888"/>
      <c r="B888"/>
      <c r="C888"/>
      <c r="D888"/>
      <c r="E888"/>
      <c r="F888"/>
      <c r="G888"/>
      <c r="H888"/>
      <c r="I888"/>
      <c r="J888"/>
      <c r="K888"/>
      <c r="L888" s="14"/>
      <c r="M888"/>
      <c r="N888"/>
      <c r="O888"/>
      <c r="P888"/>
    </row>
    <row r="889" spans="1:16" x14ac:dyDescent="0.25">
      <c r="A889"/>
      <c r="B889"/>
      <c r="C889"/>
      <c r="D889"/>
      <c r="E889"/>
      <c r="F889"/>
      <c r="G889"/>
      <c r="H889"/>
      <c r="I889"/>
      <c r="J889"/>
      <c r="K889"/>
      <c r="L889" s="14"/>
      <c r="M889"/>
      <c r="N889"/>
      <c r="O889"/>
      <c r="P889"/>
    </row>
    <row r="890" spans="1:16" x14ac:dyDescent="0.25">
      <c r="A890"/>
      <c r="B890"/>
      <c r="C890"/>
      <c r="D890"/>
      <c r="E890"/>
      <c r="F890"/>
      <c r="G890"/>
      <c r="H890"/>
      <c r="I890"/>
      <c r="J890"/>
      <c r="K890"/>
      <c r="L890" s="14"/>
      <c r="M890"/>
      <c r="N890"/>
      <c r="O890"/>
      <c r="P890"/>
    </row>
    <row r="891" spans="1:16" x14ac:dyDescent="0.25">
      <c r="A891"/>
      <c r="B891"/>
      <c r="C891"/>
      <c r="D891"/>
      <c r="E891"/>
      <c r="F891"/>
      <c r="G891"/>
      <c r="H891"/>
      <c r="I891"/>
      <c r="J891"/>
      <c r="K891"/>
      <c r="L891" s="14"/>
      <c r="M891"/>
      <c r="N891"/>
      <c r="O891"/>
      <c r="P891"/>
    </row>
    <row r="892" spans="1:16" x14ac:dyDescent="0.25">
      <c r="A892"/>
      <c r="B892"/>
      <c r="C892"/>
      <c r="D892"/>
      <c r="E892"/>
      <c r="F892"/>
      <c r="G892"/>
      <c r="H892"/>
      <c r="I892"/>
      <c r="J892"/>
      <c r="K892"/>
      <c r="L892" s="14"/>
      <c r="M892"/>
      <c r="N892"/>
      <c r="O892"/>
      <c r="P892"/>
    </row>
    <row r="893" spans="1:16" x14ac:dyDescent="0.25">
      <c r="A893"/>
      <c r="B893"/>
      <c r="C893"/>
      <c r="D893"/>
      <c r="E893"/>
      <c r="F893"/>
      <c r="G893"/>
      <c r="H893"/>
      <c r="I893"/>
      <c r="J893"/>
      <c r="K893"/>
      <c r="L893" s="14"/>
      <c r="M893"/>
      <c r="N893"/>
      <c r="O893"/>
      <c r="P893"/>
    </row>
    <row r="894" spans="1:16" x14ac:dyDescent="0.25">
      <c r="A894"/>
      <c r="B894"/>
      <c r="C894"/>
      <c r="D894"/>
      <c r="E894"/>
      <c r="F894"/>
      <c r="G894"/>
      <c r="H894"/>
      <c r="I894"/>
      <c r="J894"/>
      <c r="K894"/>
      <c r="L894" s="14"/>
      <c r="M894"/>
      <c r="N894"/>
      <c r="O894"/>
      <c r="P894"/>
    </row>
    <row r="895" spans="1:16" x14ac:dyDescent="0.25">
      <c r="A895"/>
      <c r="B895"/>
      <c r="C895"/>
      <c r="D895"/>
      <c r="E895"/>
      <c r="F895"/>
      <c r="G895"/>
      <c r="H895"/>
      <c r="I895"/>
      <c r="J895"/>
      <c r="K895"/>
      <c r="L895" s="14"/>
      <c r="M895"/>
      <c r="N895"/>
      <c r="O895"/>
      <c r="P895"/>
    </row>
    <row r="896" spans="1:16" x14ac:dyDescent="0.25">
      <c r="A896"/>
      <c r="B896"/>
      <c r="C896"/>
      <c r="D896"/>
      <c r="E896"/>
      <c r="F896"/>
      <c r="G896"/>
      <c r="H896"/>
      <c r="I896"/>
      <c r="J896"/>
      <c r="K896"/>
      <c r="L896" s="14"/>
      <c r="M896"/>
      <c r="N896"/>
      <c r="O896"/>
      <c r="P896"/>
    </row>
    <row r="897" spans="1:16" x14ac:dyDescent="0.25">
      <c r="A897"/>
      <c r="B897"/>
      <c r="C897"/>
      <c r="D897"/>
      <c r="E897"/>
      <c r="F897"/>
      <c r="G897"/>
      <c r="H897"/>
      <c r="I897"/>
      <c r="J897"/>
      <c r="K897"/>
      <c r="L897" s="14"/>
      <c r="M897"/>
      <c r="N897"/>
      <c r="O897"/>
      <c r="P897"/>
    </row>
    <row r="898" spans="1:16" x14ac:dyDescent="0.25">
      <c r="A898"/>
      <c r="B898"/>
      <c r="C898"/>
      <c r="D898"/>
      <c r="E898"/>
      <c r="F898"/>
      <c r="G898"/>
      <c r="H898"/>
      <c r="I898"/>
      <c r="J898"/>
      <c r="K898"/>
      <c r="L898" s="14"/>
      <c r="M898"/>
      <c r="N898"/>
      <c r="O898"/>
      <c r="P898"/>
    </row>
    <row r="899" spans="1:16" x14ac:dyDescent="0.25">
      <c r="A899"/>
      <c r="B899"/>
      <c r="C899"/>
      <c r="D899"/>
      <c r="E899"/>
      <c r="F899"/>
      <c r="G899"/>
      <c r="H899"/>
      <c r="I899"/>
      <c r="J899"/>
      <c r="K899"/>
      <c r="L899" s="14"/>
      <c r="M899"/>
      <c r="N899"/>
      <c r="O899"/>
      <c r="P899"/>
    </row>
    <row r="900" spans="1:16" x14ac:dyDescent="0.25">
      <c r="A900"/>
      <c r="B900"/>
      <c r="C900"/>
      <c r="D900"/>
      <c r="E900"/>
      <c r="F900"/>
      <c r="G900"/>
      <c r="H900"/>
      <c r="I900"/>
      <c r="J900"/>
      <c r="K900"/>
      <c r="L900" s="14"/>
      <c r="M900"/>
      <c r="N900"/>
      <c r="O900"/>
      <c r="P900"/>
    </row>
    <row r="901" spans="1:16" x14ac:dyDescent="0.25">
      <c r="A901"/>
      <c r="B901"/>
      <c r="C901"/>
      <c r="D901"/>
      <c r="E901"/>
      <c r="F901"/>
      <c r="G901"/>
      <c r="H901"/>
      <c r="I901"/>
      <c r="J901"/>
      <c r="K901"/>
      <c r="L901" s="14"/>
      <c r="M901"/>
      <c r="N901"/>
      <c r="O901"/>
      <c r="P901"/>
    </row>
    <row r="902" spans="1:16" x14ac:dyDescent="0.25">
      <c r="A902"/>
      <c r="B902"/>
      <c r="C902"/>
      <c r="D902"/>
      <c r="E902"/>
      <c r="F902"/>
      <c r="G902"/>
      <c r="H902"/>
      <c r="I902"/>
      <c r="J902"/>
      <c r="K902"/>
      <c r="L902" s="14"/>
      <c r="M902"/>
      <c r="N902"/>
      <c r="O902"/>
      <c r="P902"/>
    </row>
    <row r="903" spans="1:16" x14ac:dyDescent="0.25">
      <c r="A903"/>
      <c r="B903"/>
      <c r="C903"/>
      <c r="D903"/>
      <c r="E903"/>
      <c r="F903"/>
      <c r="G903"/>
      <c r="H903"/>
      <c r="I903"/>
      <c r="J903"/>
      <c r="K903"/>
      <c r="L903" s="14"/>
      <c r="M903"/>
      <c r="N903"/>
      <c r="O903"/>
      <c r="P903"/>
    </row>
    <row r="904" spans="1:16" x14ac:dyDescent="0.25">
      <c r="A904"/>
      <c r="B904"/>
      <c r="C904"/>
      <c r="D904"/>
      <c r="E904"/>
      <c r="F904"/>
      <c r="G904"/>
      <c r="H904"/>
      <c r="I904"/>
      <c r="J904"/>
      <c r="K904"/>
      <c r="L904" s="14"/>
      <c r="M904"/>
      <c r="N904"/>
      <c r="O904"/>
      <c r="P904"/>
    </row>
    <row r="905" spans="1:16" x14ac:dyDescent="0.25">
      <c r="A905"/>
      <c r="B905"/>
      <c r="C905"/>
      <c r="D905"/>
      <c r="E905"/>
      <c r="F905"/>
      <c r="G905"/>
      <c r="H905"/>
      <c r="I905"/>
      <c r="J905"/>
      <c r="K905"/>
      <c r="L905" s="14"/>
      <c r="M905"/>
      <c r="N905"/>
      <c r="O905"/>
      <c r="P905"/>
    </row>
    <row r="906" spans="1:16" x14ac:dyDescent="0.25">
      <c r="A906"/>
      <c r="B906"/>
      <c r="C906"/>
      <c r="D906"/>
      <c r="E906"/>
      <c r="F906"/>
      <c r="G906"/>
      <c r="H906"/>
      <c r="I906"/>
      <c r="J906"/>
      <c r="K906"/>
      <c r="L906" s="14"/>
      <c r="M906"/>
      <c r="N906"/>
      <c r="O906"/>
      <c r="P906"/>
    </row>
    <row r="907" spans="1:16" x14ac:dyDescent="0.25">
      <c r="A907"/>
      <c r="B907"/>
      <c r="C907"/>
      <c r="D907"/>
      <c r="E907"/>
      <c r="F907"/>
      <c r="G907"/>
      <c r="H907"/>
      <c r="I907"/>
      <c r="J907"/>
      <c r="K907"/>
      <c r="L907" s="14"/>
      <c r="M907"/>
      <c r="N907"/>
      <c r="O907"/>
      <c r="P907"/>
    </row>
    <row r="908" spans="1:16" x14ac:dyDescent="0.25">
      <c r="A908"/>
      <c r="B908"/>
      <c r="C908"/>
      <c r="D908"/>
      <c r="E908"/>
      <c r="F908"/>
      <c r="G908"/>
      <c r="H908"/>
      <c r="I908"/>
      <c r="J908"/>
      <c r="K908"/>
      <c r="L908" s="14"/>
      <c r="M908"/>
      <c r="N908"/>
      <c r="O908"/>
      <c r="P908"/>
    </row>
    <row r="909" spans="1:16" x14ac:dyDescent="0.25">
      <c r="A909"/>
      <c r="B909"/>
      <c r="C909"/>
      <c r="D909"/>
      <c r="E909"/>
      <c r="F909"/>
      <c r="G909"/>
      <c r="H909"/>
      <c r="I909"/>
      <c r="J909"/>
      <c r="K909"/>
      <c r="L909" s="14"/>
      <c r="M909"/>
      <c r="N909"/>
      <c r="O909"/>
      <c r="P909"/>
    </row>
    <row r="910" spans="1:16" x14ac:dyDescent="0.25">
      <c r="A910"/>
      <c r="B910"/>
      <c r="C910"/>
      <c r="D910"/>
      <c r="E910"/>
      <c r="F910"/>
      <c r="G910"/>
      <c r="H910"/>
      <c r="I910"/>
      <c r="J910"/>
      <c r="K910"/>
      <c r="L910" s="14"/>
      <c r="M910"/>
      <c r="N910"/>
      <c r="O910"/>
      <c r="P910"/>
    </row>
    <row r="911" spans="1:16" x14ac:dyDescent="0.25">
      <c r="A911"/>
      <c r="B911"/>
      <c r="C911"/>
      <c r="D911"/>
      <c r="E911"/>
      <c r="F911"/>
      <c r="G911"/>
      <c r="H911"/>
      <c r="I911"/>
      <c r="J911"/>
      <c r="K911"/>
      <c r="L911" s="14"/>
      <c r="M911"/>
      <c r="N911"/>
      <c r="O911"/>
      <c r="P911"/>
    </row>
    <row r="912" spans="1:16" x14ac:dyDescent="0.25">
      <c r="A912"/>
      <c r="B912"/>
      <c r="C912"/>
      <c r="D912"/>
      <c r="E912"/>
      <c r="F912"/>
      <c r="G912"/>
      <c r="H912"/>
      <c r="I912"/>
      <c r="J912"/>
      <c r="K912"/>
      <c r="L912" s="14"/>
      <c r="M912"/>
      <c r="N912"/>
      <c r="O912"/>
      <c r="P912"/>
    </row>
    <row r="913" spans="1:16" x14ac:dyDescent="0.25">
      <c r="A913"/>
      <c r="B913"/>
      <c r="C913"/>
      <c r="D913"/>
      <c r="E913"/>
      <c r="F913"/>
      <c r="G913"/>
      <c r="H913"/>
      <c r="I913"/>
      <c r="J913"/>
      <c r="K913"/>
      <c r="L913" s="14"/>
      <c r="M913"/>
      <c r="N913"/>
      <c r="O913"/>
      <c r="P913"/>
    </row>
    <row r="914" spans="1:16" x14ac:dyDescent="0.25">
      <c r="A914"/>
      <c r="B914"/>
      <c r="C914"/>
      <c r="D914"/>
      <c r="E914"/>
      <c r="F914"/>
      <c r="G914"/>
      <c r="H914"/>
      <c r="I914"/>
      <c r="J914"/>
      <c r="K914"/>
      <c r="L914" s="14"/>
      <c r="M914"/>
      <c r="N914"/>
      <c r="O914"/>
      <c r="P914"/>
    </row>
    <row r="915" spans="1:16" x14ac:dyDescent="0.25">
      <c r="A915"/>
      <c r="B915"/>
      <c r="C915"/>
      <c r="D915"/>
      <c r="E915"/>
      <c r="F915"/>
      <c r="G915"/>
      <c r="H915"/>
      <c r="I915"/>
      <c r="J915"/>
      <c r="K915"/>
      <c r="L915" s="14"/>
      <c r="M915"/>
      <c r="N915"/>
      <c r="O915"/>
      <c r="P915"/>
    </row>
    <row r="916" spans="1:16" x14ac:dyDescent="0.25">
      <c r="A916"/>
      <c r="B916"/>
      <c r="C916"/>
      <c r="D916"/>
      <c r="E916"/>
      <c r="F916"/>
      <c r="G916"/>
      <c r="H916"/>
      <c r="I916"/>
      <c r="J916"/>
      <c r="K916"/>
      <c r="L916" s="14"/>
      <c r="M916"/>
      <c r="N916"/>
      <c r="O916"/>
      <c r="P916"/>
    </row>
    <row r="917" spans="1:16" x14ac:dyDescent="0.25">
      <c r="A917"/>
      <c r="B917"/>
      <c r="C917"/>
      <c r="D917"/>
      <c r="E917"/>
      <c r="F917"/>
      <c r="G917"/>
      <c r="H917"/>
      <c r="I917"/>
      <c r="J917"/>
      <c r="K917"/>
      <c r="L917" s="14"/>
      <c r="M917"/>
      <c r="N917"/>
      <c r="O917"/>
      <c r="P917"/>
    </row>
    <row r="918" spans="1:16" x14ac:dyDescent="0.25">
      <c r="A918"/>
      <c r="B918"/>
      <c r="C918"/>
      <c r="D918"/>
      <c r="E918"/>
      <c r="F918"/>
      <c r="G918"/>
      <c r="H918"/>
      <c r="I918"/>
      <c r="J918"/>
      <c r="K918"/>
      <c r="L918" s="14"/>
      <c r="M918"/>
      <c r="N918"/>
      <c r="O918"/>
      <c r="P918"/>
    </row>
    <row r="919" spans="1:16" x14ac:dyDescent="0.25">
      <c r="A919"/>
      <c r="B919"/>
      <c r="C919"/>
      <c r="D919"/>
      <c r="E919"/>
      <c r="F919"/>
      <c r="G919"/>
      <c r="H919"/>
      <c r="I919"/>
      <c r="J919"/>
      <c r="K919"/>
      <c r="L919" s="14"/>
      <c r="M919"/>
      <c r="N919"/>
      <c r="O919"/>
      <c r="P919"/>
    </row>
    <row r="920" spans="1:16" x14ac:dyDescent="0.25">
      <c r="A920"/>
      <c r="B920"/>
      <c r="C920"/>
      <c r="D920"/>
      <c r="E920"/>
      <c r="F920"/>
      <c r="G920"/>
      <c r="H920"/>
      <c r="I920"/>
      <c r="J920"/>
      <c r="K920"/>
      <c r="L920" s="14"/>
      <c r="M920"/>
      <c r="N920"/>
      <c r="O920"/>
      <c r="P920"/>
    </row>
    <row r="921" spans="1:16" x14ac:dyDescent="0.25">
      <c r="A921"/>
      <c r="B921"/>
      <c r="C921"/>
      <c r="D921"/>
      <c r="E921"/>
      <c r="F921"/>
      <c r="G921"/>
      <c r="H921"/>
      <c r="I921"/>
      <c r="J921"/>
      <c r="K921"/>
      <c r="L921" s="14"/>
      <c r="M921"/>
      <c r="N921"/>
      <c r="O921"/>
      <c r="P921"/>
    </row>
    <row r="922" spans="1:16" x14ac:dyDescent="0.25">
      <c r="A922"/>
      <c r="B922"/>
      <c r="C922"/>
      <c r="D922"/>
      <c r="E922"/>
      <c r="F922"/>
      <c r="G922"/>
      <c r="H922"/>
      <c r="I922"/>
      <c r="J922"/>
      <c r="K922"/>
      <c r="L922" s="14"/>
      <c r="M922"/>
      <c r="N922"/>
      <c r="O922"/>
      <c r="P922"/>
    </row>
    <row r="923" spans="1:16" x14ac:dyDescent="0.25">
      <c r="A923"/>
      <c r="B923"/>
      <c r="C923"/>
      <c r="D923"/>
      <c r="E923"/>
      <c r="F923"/>
      <c r="G923"/>
      <c r="H923"/>
      <c r="I923"/>
      <c r="J923"/>
      <c r="K923"/>
      <c r="L923" s="14"/>
      <c r="M923"/>
      <c r="N923"/>
      <c r="O923"/>
      <c r="P923"/>
    </row>
    <row r="924" spans="1:16" x14ac:dyDescent="0.25">
      <c r="A924"/>
      <c r="B924"/>
      <c r="C924"/>
      <c r="D924"/>
      <c r="E924"/>
      <c r="F924"/>
      <c r="G924"/>
      <c r="H924"/>
      <c r="I924"/>
      <c r="J924"/>
      <c r="K924"/>
      <c r="L924" s="14"/>
      <c r="M924"/>
      <c r="N924"/>
      <c r="O924"/>
      <c r="P924"/>
    </row>
    <row r="925" spans="1:16" x14ac:dyDescent="0.25">
      <c r="A925"/>
      <c r="B925"/>
      <c r="C925"/>
      <c r="D925"/>
      <c r="E925"/>
      <c r="F925"/>
      <c r="G925"/>
      <c r="H925"/>
      <c r="I925"/>
      <c r="J925"/>
      <c r="K925"/>
      <c r="L925" s="14"/>
      <c r="M925"/>
      <c r="N925"/>
      <c r="O925"/>
      <c r="P925"/>
    </row>
    <row r="926" spans="1:16" x14ac:dyDescent="0.25">
      <c r="A926"/>
      <c r="B926"/>
      <c r="C926"/>
      <c r="D926"/>
      <c r="E926"/>
      <c r="F926"/>
      <c r="G926"/>
      <c r="H926"/>
      <c r="I926"/>
      <c r="J926"/>
      <c r="K926"/>
      <c r="L926" s="14"/>
      <c r="M926"/>
      <c r="N926"/>
      <c r="O926"/>
      <c r="P926"/>
    </row>
    <row r="927" spans="1:16" x14ac:dyDescent="0.25">
      <c r="A927"/>
      <c r="B927"/>
      <c r="C927"/>
      <c r="D927"/>
      <c r="E927"/>
      <c r="F927"/>
      <c r="G927"/>
      <c r="H927"/>
      <c r="I927"/>
      <c r="J927"/>
      <c r="K927"/>
      <c r="L927" s="14"/>
      <c r="M927"/>
      <c r="N927"/>
      <c r="O927"/>
      <c r="P927"/>
    </row>
    <row r="928" spans="1:16" x14ac:dyDescent="0.25">
      <c r="A928"/>
      <c r="B928"/>
      <c r="C928"/>
      <c r="D928"/>
      <c r="E928"/>
      <c r="F928"/>
      <c r="G928"/>
      <c r="H928"/>
      <c r="I928"/>
      <c r="J928"/>
      <c r="K928"/>
      <c r="L928" s="14"/>
      <c r="M928"/>
      <c r="N928"/>
      <c r="O928"/>
      <c r="P928"/>
    </row>
    <row r="929" spans="1:16" x14ac:dyDescent="0.25">
      <c r="A929"/>
      <c r="B929"/>
      <c r="C929"/>
      <c r="D929"/>
      <c r="E929"/>
      <c r="F929"/>
      <c r="G929"/>
      <c r="H929"/>
      <c r="I929"/>
      <c r="J929"/>
      <c r="K929"/>
      <c r="L929" s="14"/>
      <c r="M929"/>
      <c r="N929"/>
      <c r="O929"/>
      <c r="P929"/>
    </row>
    <row r="930" spans="1:16" x14ac:dyDescent="0.25">
      <c r="A930"/>
      <c r="B930"/>
      <c r="C930"/>
      <c r="D930"/>
      <c r="E930"/>
      <c r="F930"/>
      <c r="G930"/>
      <c r="H930"/>
      <c r="I930"/>
      <c r="J930"/>
      <c r="K930"/>
      <c r="L930" s="14"/>
      <c r="M930"/>
      <c r="N930"/>
      <c r="O930"/>
      <c r="P930"/>
    </row>
    <row r="931" spans="1:16" x14ac:dyDescent="0.25">
      <c r="A931"/>
      <c r="B931"/>
      <c r="C931"/>
      <c r="D931"/>
      <c r="E931"/>
      <c r="F931"/>
      <c r="G931"/>
      <c r="H931"/>
      <c r="I931"/>
      <c r="J931"/>
      <c r="K931"/>
      <c r="L931" s="14"/>
      <c r="M931"/>
      <c r="N931"/>
      <c r="O931"/>
      <c r="P931"/>
    </row>
    <row r="932" spans="1:16" x14ac:dyDescent="0.25">
      <c r="A932"/>
      <c r="B932"/>
      <c r="C932"/>
      <c r="D932"/>
      <c r="E932"/>
      <c r="F932"/>
      <c r="G932"/>
      <c r="H932"/>
      <c r="I932"/>
      <c r="J932"/>
      <c r="K932"/>
      <c r="L932" s="14"/>
      <c r="M932"/>
      <c r="N932"/>
      <c r="O932"/>
      <c r="P932"/>
    </row>
    <row r="933" spans="1:16" x14ac:dyDescent="0.25">
      <c r="A933"/>
      <c r="B933"/>
      <c r="C933"/>
      <c r="D933"/>
      <c r="E933"/>
      <c r="F933"/>
      <c r="G933"/>
      <c r="H933"/>
      <c r="I933"/>
      <c r="J933"/>
      <c r="K933"/>
      <c r="L933" s="14"/>
      <c r="M933"/>
      <c r="N933"/>
      <c r="O933"/>
      <c r="P933"/>
    </row>
    <row r="934" spans="1:16" x14ac:dyDescent="0.25">
      <c r="A934"/>
      <c r="B934"/>
      <c r="C934"/>
      <c r="D934"/>
      <c r="E934"/>
      <c r="F934"/>
      <c r="G934"/>
      <c r="H934"/>
      <c r="I934"/>
      <c r="J934"/>
      <c r="K934"/>
      <c r="L934" s="14"/>
      <c r="M934"/>
      <c r="N934"/>
      <c r="O934"/>
      <c r="P934"/>
    </row>
    <row r="935" spans="1:16" x14ac:dyDescent="0.25">
      <c r="A935"/>
      <c r="B935"/>
      <c r="C935"/>
      <c r="D935"/>
      <c r="E935"/>
      <c r="F935"/>
      <c r="G935"/>
      <c r="H935"/>
      <c r="I935"/>
      <c r="J935"/>
      <c r="K935"/>
      <c r="L935" s="14"/>
      <c r="M935"/>
      <c r="N935"/>
      <c r="O935"/>
      <c r="P935"/>
    </row>
    <row r="936" spans="1:16" x14ac:dyDescent="0.25">
      <c r="A936"/>
      <c r="B936"/>
      <c r="C936"/>
      <c r="D936"/>
      <c r="E936"/>
      <c r="F936"/>
      <c r="G936"/>
      <c r="H936"/>
      <c r="I936"/>
      <c r="J936"/>
      <c r="K936"/>
      <c r="L936" s="14"/>
      <c r="M936"/>
      <c r="N936"/>
      <c r="O936"/>
      <c r="P936"/>
    </row>
    <row r="937" spans="1:16" x14ac:dyDescent="0.25">
      <c r="A937"/>
      <c r="B937"/>
      <c r="C937"/>
      <c r="D937"/>
      <c r="E937"/>
      <c r="F937"/>
      <c r="G937"/>
      <c r="H937"/>
      <c r="I937"/>
      <c r="J937"/>
      <c r="K937"/>
      <c r="L937" s="14"/>
      <c r="M937"/>
      <c r="N937"/>
      <c r="O937"/>
      <c r="P937"/>
    </row>
    <row r="938" spans="1:16" x14ac:dyDescent="0.25">
      <c r="A938"/>
      <c r="B938"/>
      <c r="C938"/>
      <c r="D938"/>
      <c r="E938"/>
      <c r="F938"/>
      <c r="G938"/>
      <c r="H938"/>
      <c r="I938"/>
      <c r="J938"/>
      <c r="K938"/>
      <c r="L938" s="14"/>
      <c r="M938"/>
      <c r="N938"/>
      <c r="O938"/>
      <c r="P938"/>
    </row>
    <row r="939" spans="1:16" x14ac:dyDescent="0.25">
      <c r="A939"/>
      <c r="B939"/>
      <c r="C939"/>
      <c r="D939"/>
      <c r="E939"/>
      <c r="F939"/>
      <c r="G939"/>
      <c r="H939"/>
      <c r="I939"/>
      <c r="J939"/>
      <c r="K939"/>
      <c r="L939" s="14"/>
      <c r="M939"/>
      <c r="N939"/>
      <c r="O939"/>
      <c r="P939"/>
    </row>
    <row r="940" spans="1:16" x14ac:dyDescent="0.25">
      <c r="A940"/>
      <c r="B940"/>
      <c r="C940"/>
      <c r="D940"/>
      <c r="E940"/>
      <c r="F940"/>
      <c r="G940"/>
      <c r="H940"/>
      <c r="I940"/>
      <c r="J940"/>
      <c r="K940"/>
      <c r="L940" s="14"/>
      <c r="M940"/>
      <c r="N940"/>
      <c r="O940"/>
      <c r="P940"/>
    </row>
    <row r="941" spans="1:16" x14ac:dyDescent="0.25">
      <c r="A941"/>
      <c r="B941"/>
      <c r="C941"/>
      <c r="D941"/>
      <c r="E941"/>
      <c r="F941"/>
      <c r="G941"/>
      <c r="H941"/>
      <c r="I941"/>
      <c r="J941"/>
      <c r="K941"/>
      <c r="L941" s="14"/>
      <c r="M941"/>
      <c r="N941"/>
      <c r="O941"/>
      <c r="P941"/>
    </row>
    <row r="942" spans="1:16" x14ac:dyDescent="0.25">
      <c r="A942"/>
      <c r="B942"/>
      <c r="C942"/>
      <c r="D942"/>
      <c r="E942"/>
      <c r="F942"/>
      <c r="G942"/>
      <c r="H942"/>
      <c r="I942"/>
      <c r="J942"/>
      <c r="K942"/>
      <c r="L942" s="14"/>
      <c r="M942"/>
      <c r="N942"/>
      <c r="O942"/>
      <c r="P942"/>
    </row>
    <row r="943" spans="1:16" x14ac:dyDescent="0.25">
      <c r="A943"/>
      <c r="B943"/>
      <c r="C943"/>
      <c r="D943"/>
      <c r="E943"/>
      <c r="F943"/>
      <c r="G943"/>
      <c r="H943"/>
      <c r="I943"/>
      <c r="J943"/>
      <c r="K943"/>
      <c r="L943" s="14"/>
      <c r="M943"/>
      <c r="N943"/>
      <c r="O943"/>
      <c r="P943"/>
    </row>
    <row r="944" spans="1:16" x14ac:dyDescent="0.25">
      <c r="A944"/>
      <c r="B944"/>
      <c r="C944"/>
      <c r="D944"/>
      <c r="E944"/>
      <c r="F944"/>
      <c r="G944"/>
      <c r="H944"/>
      <c r="I944"/>
      <c r="J944"/>
      <c r="K944"/>
      <c r="L944" s="14"/>
      <c r="M944"/>
      <c r="N944"/>
      <c r="O944"/>
      <c r="P944"/>
    </row>
    <row r="945" spans="1:16" x14ac:dyDescent="0.25">
      <c r="A945"/>
      <c r="B945"/>
      <c r="C945"/>
      <c r="D945"/>
      <c r="E945"/>
      <c r="F945"/>
      <c r="G945"/>
      <c r="H945"/>
      <c r="I945"/>
      <c r="J945"/>
      <c r="K945"/>
      <c r="L945" s="14"/>
      <c r="M945"/>
      <c r="N945"/>
      <c r="O945"/>
      <c r="P945"/>
    </row>
    <row r="946" spans="1:16" x14ac:dyDescent="0.25">
      <c r="A946"/>
      <c r="B946"/>
      <c r="C946"/>
      <c r="D946"/>
      <c r="E946"/>
      <c r="F946"/>
      <c r="G946"/>
      <c r="H946"/>
      <c r="I946"/>
      <c r="J946"/>
      <c r="K946"/>
      <c r="L946" s="14"/>
      <c r="M946"/>
      <c r="N946"/>
      <c r="O946"/>
      <c r="P946"/>
    </row>
    <row r="947" spans="1:16" x14ac:dyDescent="0.25">
      <c r="A947"/>
      <c r="B947"/>
      <c r="C947"/>
      <c r="D947"/>
      <c r="E947"/>
      <c r="F947"/>
      <c r="G947"/>
      <c r="H947"/>
      <c r="I947"/>
      <c r="J947"/>
      <c r="K947"/>
      <c r="L947" s="14"/>
      <c r="M947"/>
      <c r="N947"/>
      <c r="O947"/>
      <c r="P947"/>
    </row>
    <row r="948" spans="1:16" x14ac:dyDescent="0.25">
      <c r="A948"/>
      <c r="B948"/>
      <c r="C948"/>
      <c r="D948"/>
      <c r="E948"/>
      <c r="F948"/>
      <c r="G948"/>
      <c r="H948"/>
      <c r="I948"/>
      <c r="J948"/>
      <c r="K948"/>
      <c r="L948" s="14"/>
      <c r="M948"/>
      <c r="N948"/>
      <c r="O948"/>
      <c r="P948"/>
    </row>
    <row r="949" spans="1:16" x14ac:dyDescent="0.25">
      <c r="A949"/>
      <c r="B949"/>
      <c r="C949"/>
      <c r="D949"/>
      <c r="E949"/>
      <c r="F949"/>
      <c r="G949"/>
      <c r="H949"/>
      <c r="I949"/>
      <c r="J949"/>
      <c r="K949"/>
      <c r="L949" s="14"/>
      <c r="M949"/>
      <c r="N949"/>
      <c r="O949"/>
      <c r="P949"/>
    </row>
    <row r="950" spans="1:16" x14ac:dyDescent="0.25">
      <c r="A950"/>
      <c r="B950"/>
      <c r="C950"/>
      <c r="D950"/>
      <c r="E950"/>
      <c r="F950"/>
      <c r="G950"/>
      <c r="H950"/>
      <c r="I950"/>
      <c r="J950"/>
      <c r="K950"/>
      <c r="L950" s="14"/>
      <c r="M950"/>
      <c r="N950"/>
      <c r="O950"/>
      <c r="P950"/>
    </row>
    <row r="951" spans="1:16" x14ac:dyDescent="0.25">
      <c r="A951"/>
      <c r="B951"/>
      <c r="C951"/>
      <c r="D951"/>
      <c r="E951"/>
      <c r="F951"/>
      <c r="G951"/>
      <c r="H951"/>
      <c r="I951"/>
      <c r="J951"/>
      <c r="K951"/>
      <c r="L951" s="14"/>
      <c r="M951"/>
      <c r="N951"/>
      <c r="O951"/>
      <c r="P951"/>
    </row>
    <row r="952" spans="1:16" x14ac:dyDescent="0.25">
      <c r="A952"/>
      <c r="B952"/>
      <c r="C952"/>
      <c r="D952"/>
      <c r="E952"/>
      <c r="F952"/>
      <c r="G952"/>
      <c r="H952"/>
      <c r="I952"/>
      <c r="J952"/>
      <c r="K952"/>
      <c r="L952" s="14"/>
      <c r="M952"/>
      <c r="N952"/>
      <c r="O952"/>
      <c r="P952"/>
    </row>
    <row r="953" spans="1:16" x14ac:dyDescent="0.25">
      <c r="A953"/>
      <c r="B953"/>
      <c r="C953"/>
      <c r="D953"/>
      <c r="E953"/>
      <c r="F953"/>
      <c r="G953"/>
      <c r="H953"/>
      <c r="I953"/>
      <c r="J953"/>
      <c r="K953"/>
      <c r="L953" s="14"/>
      <c r="M953"/>
      <c r="N953"/>
      <c r="O953"/>
      <c r="P953"/>
    </row>
    <row r="954" spans="1:16" x14ac:dyDescent="0.25">
      <c r="A954"/>
      <c r="B954"/>
      <c r="C954"/>
      <c r="D954"/>
      <c r="E954"/>
      <c r="F954"/>
      <c r="G954"/>
      <c r="H954"/>
      <c r="I954"/>
      <c r="J954"/>
      <c r="K954"/>
      <c r="L954" s="14"/>
      <c r="M954"/>
      <c r="N954"/>
      <c r="O954"/>
      <c r="P954"/>
    </row>
    <row r="955" spans="1:16" x14ac:dyDescent="0.25">
      <c r="A955"/>
      <c r="B955"/>
      <c r="C955"/>
      <c r="D955"/>
      <c r="E955"/>
      <c r="F955"/>
      <c r="G955"/>
      <c r="H955"/>
      <c r="I955"/>
      <c r="J955"/>
      <c r="K955"/>
      <c r="L955" s="14"/>
      <c r="M955"/>
      <c r="N955"/>
      <c r="O955"/>
      <c r="P955"/>
    </row>
    <row r="956" spans="1:16" x14ac:dyDescent="0.25">
      <c r="A956"/>
      <c r="B956"/>
      <c r="C956"/>
      <c r="D956"/>
      <c r="E956"/>
      <c r="F956"/>
      <c r="G956"/>
      <c r="H956"/>
      <c r="I956"/>
      <c r="J956"/>
      <c r="K956"/>
      <c r="L956" s="14"/>
      <c r="M956"/>
      <c r="N956"/>
      <c r="O956"/>
      <c r="P956"/>
    </row>
    <row r="957" spans="1:16" x14ac:dyDescent="0.25">
      <c r="A957"/>
      <c r="B957"/>
      <c r="C957"/>
      <c r="D957"/>
      <c r="E957"/>
      <c r="F957"/>
      <c r="G957"/>
      <c r="H957"/>
      <c r="I957"/>
      <c r="J957"/>
      <c r="K957"/>
      <c r="L957" s="14"/>
      <c r="M957"/>
      <c r="N957"/>
      <c r="O957"/>
      <c r="P957"/>
    </row>
    <row r="958" spans="1:16" x14ac:dyDescent="0.25">
      <c r="A958"/>
      <c r="B958"/>
      <c r="C958"/>
      <c r="D958"/>
      <c r="E958"/>
      <c r="F958"/>
      <c r="G958"/>
      <c r="H958"/>
      <c r="I958"/>
      <c r="J958"/>
      <c r="K958"/>
      <c r="L958" s="14"/>
      <c r="M958"/>
      <c r="N958"/>
      <c r="O958"/>
      <c r="P958"/>
    </row>
    <row r="959" spans="1:16" x14ac:dyDescent="0.25">
      <c r="A959"/>
      <c r="B959"/>
      <c r="C959"/>
      <c r="D959"/>
      <c r="E959"/>
      <c r="F959"/>
      <c r="G959"/>
      <c r="H959"/>
      <c r="I959"/>
      <c r="J959"/>
      <c r="K959"/>
      <c r="L959" s="14"/>
      <c r="M959"/>
      <c r="N959"/>
      <c r="O959"/>
      <c r="P959"/>
    </row>
    <row r="960" spans="1:16" x14ac:dyDescent="0.25">
      <c r="A960"/>
      <c r="B960"/>
      <c r="C960"/>
      <c r="D960"/>
      <c r="E960"/>
      <c r="F960"/>
      <c r="G960"/>
      <c r="H960"/>
      <c r="I960"/>
      <c r="J960"/>
      <c r="K960"/>
      <c r="L960" s="14"/>
      <c r="M960"/>
      <c r="N960"/>
      <c r="O960"/>
      <c r="P960"/>
    </row>
    <row r="961" spans="1:16" x14ac:dyDescent="0.25">
      <c r="A961"/>
      <c r="B961"/>
      <c r="C961"/>
      <c r="D961"/>
      <c r="E961"/>
      <c r="F961"/>
      <c r="G961"/>
      <c r="H961"/>
      <c r="I961"/>
      <c r="J961"/>
      <c r="K961"/>
      <c r="L961" s="14"/>
      <c r="M961"/>
      <c r="N961"/>
      <c r="O961"/>
      <c r="P961"/>
    </row>
    <row r="962" spans="1:16" x14ac:dyDescent="0.25">
      <c r="A962"/>
      <c r="B962"/>
      <c r="C962"/>
      <c r="D962"/>
      <c r="E962"/>
      <c r="F962"/>
      <c r="G962"/>
      <c r="H962"/>
      <c r="I962"/>
      <c r="J962"/>
      <c r="K962"/>
      <c r="L962" s="14"/>
      <c r="M962"/>
      <c r="N962"/>
      <c r="O962"/>
      <c r="P962"/>
    </row>
    <row r="963" spans="1:16" x14ac:dyDescent="0.25">
      <c r="A963"/>
      <c r="B963"/>
      <c r="C963"/>
      <c r="D963"/>
      <c r="E963"/>
      <c r="F963"/>
      <c r="G963"/>
      <c r="H963"/>
      <c r="I963"/>
      <c r="J963"/>
      <c r="K963"/>
      <c r="L963" s="14"/>
      <c r="M963"/>
      <c r="N963"/>
      <c r="O963"/>
      <c r="P963"/>
    </row>
    <row r="964" spans="1:16" x14ac:dyDescent="0.25">
      <c r="A964"/>
      <c r="B964"/>
      <c r="C964"/>
      <c r="D964"/>
      <c r="E964"/>
      <c r="F964"/>
      <c r="G964"/>
      <c r="H964"/>
      <c r="I964"/>
      <c r="J964"/>
      <c r="K964"/>
      <c r="L964" s="14"/>
      <c r="M964"/>
      <c r="N964"/>
      <c r="O964"/>
      <c r="P964"/>
    </row>
    <row r="965" spans="1:16" x14ac:dyDescent="0.25">
      <c r="A965"/>
      <c r="B965"/>
      <c r="C965"/>
      <c r="D965"/>
      <c r="E965"/>
      <c r="F965"/>
      <c r="G965"/>
      <c r="H965"/>
      <c r="I965"/>
      <c r="J965"/>
      <c r="K965"/>
      <c r="L965" s="14"/>
      <c r="M965"/>
      <c r="N965"/>
      <c r="O965"/>
      <c r="P965"/>
    </row>
    <row r="966" spans="1:16" x14ac:dyDescent="0.25">
      <c r="A966"/>
      <c r="B966"/>
      <c r="C966"/>
      <c r="D966"/>
      <c r="E966"/>
      <c r="F966"/>
      <c r="G966"/>
      <c r="H966"/>
      <c r="I966"/>
      <c r="J966"/>
      <c r="K966"/>
      <c r="L966" s="14"/>
      <c r="M966"/>
      <c r="N966"/>
      <c r="O966"/>
      <c r="P966"/>
    </row>
    <row r="967" spans="1:16" x14ac:dyDescent="0.25">
      <c r="A967"/>
      <c r="B967"/>
      <c r="C967"/>
      <c r="D967"/>
      <c r="E967"/>
      <c r="F967"/>
      <c r="G967"/>
      <c r="H967"/>
      <c r="I967"/>
      <c r="J967"/>
      <c r="K967"/>
      <c r="L967" s="14"/>
      <c r="M967"/>
      <c r="N967"/>
      <c r="O967"/>
      <c r="P967"/>
    </row>
    <row r="968" spans="1:16" x14ac:dyDescent="0.25">
      <c r="A968"/>
      <c r="B968"/>
      <c r="C968"/>
      <c r="D968"/>
      <c r="E968"/>
      <c r="F968"/>
      <c r="G968"/>
      <c r="H968"/>
      <c r="I968"/>
      <c r="J968"/>
      <c r="K968"/>
      <c r="L968" s="14"/>
      <c r="M968"/>
      <c r="N968"/>
      <c r="O968"/>
      <c r="P968"/>
    </row>
    <row r="969" spans="1:16" x14ac:dyDescent="0.25">
      <c r="A969"/>
      <c r="B969"/>
      <c r="C969"/>
      <c r="D969"/>
      <c r="E969"/>
      <c r="F969"/>
      <c r="G969"/>
      <c r="H969"/>
      <c r="I969"/>
      <c r="J969"/>
      <c r="K969"/>
      <c r="L969" s="14"/>
      <c r="M969"/>
      <c r="N969"/>
      <c r="O969"/>
      <c r="P969"/>
    </row>
    <row r="970" spans="1:16" x14ac:dyDescent="0.25">
      <c r="A970"/>
      <c r="B970"/>
      <c r="C970"/>
      <c r="D970"/>
      <c r="E970"/>
      <c r="F970"/>
      <c r="G970"/>
      <c r="H970"/>
      <c r="I970"/>
      <c r="J970"/>
      <c r="K970"/>
      <c r="L970" s="14"/>
      <c r="M970"/>
      <c r="N970"/>
      <c r="O970"/>
      <c r="P970"/>
    </row>
    <row r="971" spans="1:16" x14ac:dyDescent="0.25">
      <c r="A971"/>
      <c r="B971"/>
      <c r="C971"/>
      <c r="D971"/>
      <c r="E971"/>
      <c r="F971"/>
      <c r="G971"/>
      <c r="H971"/>
      <c r="I971"/>
      <c r="J971"/>
      <c r="K971"/>
      <c r="L971" s="14"/>
      <c r="M971"/>
      <c r="N971"/>
      <c r="O971"/>
      <c r="P971"/>
    </row>
    <row r="972" spans="1:16" x14ac:dyDescent="0.25">
      <c r="A972"/>
      <c r="B972"/>
      <c r="C972"/>
      <c r="D972"/>
      <c r="E972"/>
      <c r="F972"/>
      <c r="G972"/>
      <c r="H972"/>
      <c r="I972"/>
      <c r="J972"/>
      <c r="K972"/>
      <c r="L972" s="14"/>
      <c r="M972"/>
      <c r="N972"/>
      <c r="O972"/>
      <c r="P972"/>
    </row>
    <row r="973" spans="1:16" x14ac:dyDescent="0.25">
      <c r="A973"/>
      <c r="B973"/>
      <c r="C973"/>
      <c r="D973"/>
      <c r="E973"/>
      <c r="F973"/>
      <c r="G973"/>
      <c r="H973"/>
      <c r="I973"/>
      <c r="J973"/>
      <c r="K973"/>
      <c r="L973" s="14"/>
      <c r="M973"/>
      <c r="N973"/>
      <c r="O973"/>
      <c r="P973"/>
    </row>
    <row r="974" spans="1:16" x14ac:dyDescent="0.25">
      <c r="A974"/>
      <c r="B974"/>
      <c r="C974"/>
      <c r="D974"/>
      <c r="E974"/>
      <c r="F974"/>
      <c r="G974"/>
      <c r="H974"/>
      <c r="I974"/>
      <c r="J974"/>
      <c r="K974"/>
      <c r="L974" s="14"/>
      <c r="M974"/>
      <c r="N974"/>
      <c r="O974"/>
      <c r="P974"/>
    </row>
    <row r="975" spans="1:16" x14ac:dyDescent="0.25">
      <c r="A975"/>
      <c r="B975"/>
      <c r="C975"/>
      <c r="D975"/>
      <c r="E975"/>
      <c r="F975"/>
      <c r="G975"/>
      <c r="H975"/>
      <c r="I975"/>
      <c r="J975"/>
      <c r="K975"/>
      <c r="L975" s="14"/>
      <c r="M975"/>
      <c r="N975"/>
      <c r="O975"/>
      <c r="P975"/>
    </row>
    <row r="976" spans="1:16" x14ac:dyDescent="0.25">
      <c r="A976"/>
      <c r="B976"/>
      <c r="C976"/>
      <c r="D976"/>
      <c r="E976"/>
      <c r="F976"/>
      <c r="G976"/>
      <c r="H976"/>
      <c r="I976"/>
      <c r="J976"/>
      <c r="K976"/>
      <c r="L976" s="14"/>
      <c r="M976"/>
      <c r="N976"/>
      <c r="O976"/>
      <c r="P976"/>
    </row>
    <row r="977" spans="1:16" x14ac:dyDescent="0.25">
      <c r="A977"/>
      <c r="B977"/>
      <c r="C977"/>
      <c r="D977"/>
      <c r="E977"/>
      <c r="F977"/>
      <c r="G977"/>
      <c r="H977"/>
      <c r="I977"/>
      <c r="J977"/>
      <c r="K977"/>
      <c r="L977" s="14"/>
      <c r="M977"/>
      <c r="N977"/>
      <c r="O977"/>
      <c r="P977"/>
    </row>
    <row r="978" spans="1:16" x14ac:dyDescent="0.25">
      <c r="A978"/>
      <c r="B978"/>
      <c r="C978"/>
      <c r="D978"/>
      <c r="E978"/>
      <c r="F978"/>
      <c r="G978"/>
      <c r="H978"/>
      <c r="I978"/>
      <c r="J978"/>
      <c r="K978"/>
      <c r="L978" s="14"/>
      <c r="M978"/>
      <c r="N978"/>
      <c r="O978"/>
      <c r="P978"/>
    </row>
    <row r="979" spans="1:16" x14ac:dyDescent="0.25">
      <c r="A979"/>
      <c r="B979"/>
      <c r="C979"/>
      <c r="D979"/>
      <c r="E979"/>
      <c r="F979"/>
      <c r="G979"/>
      <c r="H979"/>
      <c r="I979"/>
      <c r="J979"/>
      <c r="K979"/>
      <c r="L979" s="14"/>
      <c r="M979"/>
      <c r="N979"/>
      <c r="O979"/>
      <c r="P979"/>
    </row>
    <row r="980" spans="1:16" x14ac:dyDescent="0.25">
      <c r="A980"/>
      <c r="B980"/>
      <c r="C980"/>
      <c r="D980"/>
      <c r="E980"/>
      <c r="F980"/>
      <c r="G980"/>
      <c r="H980"/>
      <c r="I980"/>
      <c r="J980"/>
      <c r="K980"/>
      <c r="L980" s="14"/>
      <c r="M980"/>
      <c r="N980"/>
      <c r="O980"/>
      <c r="P980"/>
    </row>
    <row r="981" spans="1:16" x14ac:dyDescent="0.25">
      <c r="A981"/>
      <c r="B981"/>
      <c r="C981"/>
      <c r="D981"/>
      <c r="E981"/>
      <c r="F981"/>
      <c r="G981"/>
      <c r="H981"/>
      <c r="I981"/>
      <c r="J981"/>
      <c r="K981"/>
      <c r="L981" s="14"/>
      <c r="M981"/>
      <c r="N981"/>
      <c r="O981"/>
      <c r="P981"/>
    </row>
    <row r="982" spans="1:16" x14ac:dyDescent="0.25">
      <c r="A982"/>
      <c r="B982"/>
      <c r="C982"/>
      <c r="D982"/>
      <c r="E982"/>
      <c r="F982"/>
      <c r="G982"/>
      <c r="H982"/>
      <c r="I982"/>
      <c r="J982"/>
      <c r="K982"/>
      <c r="L982" s="14"/>
      <c r="M982"/>
      <c r="N982"/>
      <c r="O982"/>
      <c r="P982"/>
    </row>
    <row r="983" spans="1:16" x14ac:dyDescent="0.25">
      <c r="A983"/>
      <c r="B983"/>
      <c r="C983"/>
      <c r="D983"/>
      <c r="E983"/>
      <c r="F983"/>
      <c r="G983"/>
      <c r="H983"/>
      <c r="I983"/>
      <c r="J983"/>
      <c r="K983"/>
      <c r="L983" s="14"/>
      <c r="M983"/>
      <c r="N983"/>
      <c r="O983"/>
      <c r="P983"/>
    </row>
    <row r="984" spans="1:16" x14ac:dyDescent="0.25">
      <c r="A984"/>
      <c r="B984"/>
      <c r="C984"/>
      <c r="D984"/>
      <c r="E984"/>
      <c r="F984"/>
      <c r="G984"/>
      <c r="H984"/>
      <c r="I984"/>
      <c r="J984"/>
      <c r="K984"/>
      <c r="L984" s="14"/>
      <c r="M984"/>
      <c r="N984"/>
      <c r="O984"/>
      <c r="P984"/>
    </row>
    <row r="985" spans="1:16" x14ac:dyDescent="0.25">
      <c r="A985"/>
      <c r="B985"/>
      <c r="C985"/>
      <c r="D985"/>
      <c r="E985"/>
      <c r="F985"/>
      <c r="G985"/>
      <c r="H985"/>
      <c r="I985"/>
      <c r="J985"/>
      <c r="K985"/>
      <c r="L985" s="14"/>
      <c r="M985"/>
      <c r="N985"/>
      <c r="O985"/>
      <c r="P985"/>
    </row>
    <row r="986" spans="1:16" x14ac:dyDescent="0.25">
      <c r="A986"/>
      <c r="B986"/>
      <c r="C986"/>
      <c r="D986"/>
      <c r="E986"/>
      <c r="F986"/>
      <c r="G986"/>
      <c r="H986"/>
      <c r="I986"/>
      <c r="J986"/>
      <c r="K986"/>
      <c r="L986" s="14"/>
      <c r="M986"/>
      <c r="N986"/>
      <c r="O986"/>
      <c r="P986"/>
    </row>
    <row r="987" spans="1:16" x14ac:dyDescent="0.25">
      <c r="A987"/>
      <c r="B987"/>
      <c r="C987"/>
      <c r="D987"/>
      <c r="E987"/>
      <c r="F987"/>
      <c r="G987"/>
      <c r="H987"/>
      <c r="I987"/>
      <c r="J987"/>
      <c r="K987"/>
      <c r="L987" s="14"/>
      <c r="M987"/>
      <c r="N987"/>
      <c r="O987"/>
      <c r="P987"/>
    </row>
    <row r="988" spans="1:16" x14ac:dyDescent="0.25">
      <c r="A988"/>
      <c r="B988"/>
      <c r="C988"/>
      <c r="D988"/>
      <c r="E988"/>
      <c r="F988"/>
      <c r="G988"/>
      <c r="H988"/>
      <c r="I988"/>
      <c r="J988"/>
      <c r="K988"/>
      <c r="L988" s="14"/>
      <c r="M988"/>
      <c r="N988"/>
      <c r="O988"/>
      <c r="P988"/>
    </row>
    <row r="989" spans="1:16" x14ac:dyDescent="0.25">
      <c r="A989"/>
      <c r="B989"/>
      <c r="C989"/>
      <c r="D989"/>
      <c r="E989"/>
      <c r="F989"/>
      <c r="G989"/>
      <c r="H989"/>
      <c r="I989"/>
      <c r="J989"/>
      <c r="K989"/>
      <c r="L989" s="14"/>
      <c r="M989"/>
      <c r="N989"/>
      <c r="O989"/>
      <c r="P989"/>
    </row>
    <row r="990" spans="1:16" x14ac:dyDescent="0.25">
      <c r="A990"/>
      <c r="B990"/>
      <c r="C990"/>
      <c r="D990"/>
      <c r="E990"/>
      <c r="F990"/>
      <c r="G990"/>
      <c r="H990"/>
      <c r="I990"/>
      <c r="J990"/>
      <c r="K990"/>
      <c r="L990" s="14"/>
      <c r="M990"/>
      <c r="N990"/>
      <c r="O990"/>
      <c r="P990"/>
    </row>
    <row r="991" spans="1:16" x14ac:dyDescent="0.25">
      <c r="A991"/>
      <c r="B991"/>
      <c r="C991"/>
      <c r="D991"/>
      <c r="E991"/>
      <c r="F991"/>
      <c r="G991"/>
      <c r="H991"/>
      <c r="I991"/>
      <c r="J991"/>
      <c r="K991"/>
      <c r="L991" s="14"/>
      <c r="M991"/>
      <c r="N991"/>
      <c r="O991"/>
      <c r="P991"/>
    </row>
    <row r="992" spans="1:16" x14ac:dyDescent="0.25">
      <c r="A992"/>
      <c r="B992"/>
      <c r="C992"/>
      <c r="D992"/>
      <c r="E992"/>
      <c r="F992"/>
      <c r="G992"/>
      <c r="H992"/>
      <c r="I992"/>
      <c r="J992"/>
      <c r="K992"/>
      <c r="L992" s="14"/>
      <c r="M992"/>
      <c r="N992"/>
      <c r="O992"/>
      <c r="P992"/>
    </row>
    <row r="993" spans="1:16" x14ac:dyDescent="0.25">
      <c r="A993"/>
      <c r="B993"/>
      <c r="C993"/>
      <c r="D993"/>
      <c r="E993"/>
      <c r="F993"/>
      <c r="G993"/>
      <c r="H993"/>
      <c r="I993"/>
      <c r="J993"/>
      <c r="K993"/>
      <c r="L993" s="14"/>
      <c r="M993"/>
      <c r="N993"/>
      <c r="O993"/>
      <c r="P993"/>
    </row>
    <row r="994" spans="1:16" x14ac:dyDescent="0.25">
      <c r="A994"/>
      <c r="B994"/>
      <c r="C994"/>
      <c r="D994"/>
      <c r="E994"/>
      <c r="F994"/>
      <c r="G994"/>
      <c r="H994"/>
      <c r="I994"/>
      <c r="J994"/>
      <c r="K994"/>
      <c r="L994" s="14"/>
      <c r="M994"/>
      <c r="N994"/>
      <c r="O994"/>
      <c r="P994"/>
    </row>
    <row r="995" spans="1:16" x14ac:dyDescent="0.25">
      <c r="A995"/>
      <c r="B995"/>
      <c r="C995"/>
      <c r="D995"/>
      <c r="E995"/>
      <c r="F995"/>
      <c r="G995"/>
      <c r="H995"/>
      <c r="I995"/>
      <c r="J995"/>
      <c r="K995"/>
      <c r="L995" s="14"/>
      <c r="M995"/>
      <c r="N995"/>
      <c r="O995"/>
      <c r="P995"/>
    </row>
    <row r="996" spans="1:16" x14ac:dyDescent="0.25">
      <c r="A996"/>
      <c r="B996"/>
      <c r="C996"/>
      <c r="D996"/>
      <c r="E996"/>
      <c r="F996"/>
      <c r="G996"/>
      <c r="H996"/>
      <c r="I996"/>
      <c r="J996"/>
      <c r="K996"/>
      <c r="L996" s="14"/>
      <c r="M996"/>
      <c r="N996"/>
      <c r="O996"/>
      <c r="P996"/>
    </row>
    <row r="997" spans="1:16" x14ac:dyDescent="0.25">
      <c r="A997"/>
      <c r="B997"/>
      <c r="C997"/>
      <c r="D997"/>
      <c r="E997"/>
      <c r="F997"/>
      <c r="G997"/>
      <c r="H997"/>
      <c r="I997"/>
      <c r="J997"/>
      <c r="K997"/>
      <c r="L997" s="14"/>
      <c r="M997"/>
      <c r="N997"/>
      <c r="O997"/>
      <c r="P997"/>
    </row>
    <row r="998" spans="1:16" x14ac:dyDescent="0.25">
      <c r="A998"/>
      <c r="B998"/>
      <c r="C998"/>
      <c r="D998"/>
      <c r="E998"/>
      <c r="F998"/>
      <c r="G998"/>
      <c r="H998"/>
      <c r="I998"/>
      <c r="J998"/>
      <c r="K998"/>
      <c r="L998" s="14"/>
      <c r="M998"/>
      <c r="N998"/>
      <c r="O998"/>
      <c r="P998"/>
    </row>
    <row r="999" spans="1:16" x14ac:dyDescent="0.25">
      <c r="A999"/>
      <c r="B999"/>
      <c r="C999"/>
      <c r="D999"/>
      <c r="E999"/>
      <c r="F999"/>
      <c r="G999"/>
      <c r="H999"/>
      <c r="I999"/>
      <c r="J999"/>
      <c r="K999"/>
      <c r="L999" s="14"/>
      <c r="M999"/>
      <c r="N999"/>
      <c r="O999"/>
      <c r="P999"/>
    </row>
    <row r="1000" spans="1:16" x14ac:dyDescent="0.25">
      <c r="A1000"/>
      <c r="B1000"/>
      <c r="C1000"/>
      <c r="D1000"/>
      <c r="E1000"/>
      <c r="F1000"/>
      <c r="G1000"/>
      <c r="H1000"/>
      <c r="I1000"/>
      <c r="J1000"/>
      <c r="K1000"/>
      <c r="L1000" s="14"/>
      <c r="M1000"/>
      <c r="N1000"/>
      <c r="O1000"/>
      <c r="P1000"/>
    </row>
    <row r="1001" spans="1:16" x14ac:dyDescent="0.25">
      <c r="A1001"/>
      <c r="B1001"/>
      <c r="C1001"/>
      <c r="D1001"/>
      <c r="E1001"/>
      <c r="F1001"/>
      <c r="G1001"/>
      <c r="H1001"/>
      <c r="I1001"/>
      <c r="J1001"/>
      <c r="K1001"/>
      <c r="L1001" s="14"/>
      <c r="M1001"/>
      <c r="N1001"/>
      <c r="O1001"/>
      <c r="P1001"/>
    </row>
    <row r="1002" spans="1:16" x14ac:dyDescent="0.25">
      <c r="A1002"/>
      <c r="B1002"/>
      <c r="C1002"/>
      <c r="D1002"/>
      <c r="E1002"/>
      <c r="F1002"/>
      <c r="G1002"/>
      <c r="H1002"/>
      <c r="I1002"/>
      <c r="J1002"/>
      <c r="K1002"/>
      <c r="L1002" s="14"/>
      <c r="M1002"/>
      <c r="N1002"/>
      <c r="O1002"/>
      <c r="P1002"/>
    </row>
    <row r="1003" spans="1:16" x14ac:dyDescent="0.25">
      <c r="A1003"/>
      <c r="B1003"/>
      <c r="C1003"/>
      <c r="D1003"/>
      <c r="E1003"/>
      <c r="F1003"/>
      <c r="G1003"/>
      <c r="H1003"/>
      <c r="I1003"/>
      <c r="J1003"/>
      <c r="K1003"/>
      <c r="L1003" s="14"/>
      <c r="M1003"/>
      <c r="N1003"/>
      <c r="O1003"/>
      <c r="P1003"/>
    </row>
    <row r="1004" spans="1:16" x14ac:dyDescent="0.25">
      <c r="A1004"/>
      <c r="B1004"/>
      <c r="C1004"/>
      <c r="D1004"/>
      <c r="E1004"/>
      <c r="F1004"/>
      <c r="G1004"/>
      <c r="H1004"/>
      <c r="I1004"/>
      <c r="J1004"/>
      <c r="K1004"/>
      <c r="L1004" s="14"/>
      <c r="M1004"/>
      <c r="N1004"/>
      <c r="O1004"/>
      <c r="P1004"/>
    </row>
    <row r="1005" spans="1:16" x14ac:dyDescent="0.25">
      <c r="A1005"/>
      <c r="B1005"/>
      <c r="C1005"/>
      <c r="D1005"/>
      <c r="E1005"/>
      <c r="F1005"/>
      <c r="G1005"/>
      <c r="H1005"/>
      <c r="I1005"/>
      <c r="J1005"/>
      <c r="K1005"/>
      <c r="L1005" s="14"/>
      <c r="M1005"/>
      <c r="N1005"/>
      <c r="O1005"/>
      <c r="P1005"/>
    </row>
    <row r="1006" spans="1:16" x14ac:dyDescent="0.25">
      <c r="A1006"/>
      <c r="B1006"/>
      <c r="C1006"/>
      <c r="D1006"/>
      <c r="E1006"/>
      <c r="F1006"/>
      <c r="G1006"/>
      <c r="H1006"/>
      <c r="I1006"/>
      <c r="J1006"/>
      <c r="K1006"/>
      <c r="L1006" s="14"/>
      <c r="M1006"/>
      <c r="N1006"/>
      <c r="O1006"/>
      <c r="P1006"/>
    </row>
    <row r="1007" spans="1:16" x14ac:dyDescent="0.25">
      <c r="A1007"/>
      <c r="B1007"/>
      <c r="C1007"/>
      <c r="D1007"/>
      <c r="E1007"/>
      <c r="F1007"/>
      <c r="G1007"/>
      <c r="H1007"/>
      <c r="I1007"/>
      <c r="J1007"/>
      <c r="K1007"/>
      <c r="L1007" s="14"/>
      <c r="M1007"/>
      <c r="N1007"/>
      <c r="O1007"/>
      <c r="P1007"/>
    </row>
    <row r="1008" spans="1:16" x14ac:dyDescent="0.25">
      <c r="A1008"/>
      <c r="B1008"/>
      <c r="C1008"/>
      <c r="D1008"/>
      <c r="E1008"/>
      <c r="F1008"/>
      <c r="G1008"/>
      <c r="H1008"/>
      <c r="I1008"/>
      <c r="J1008"/>
      <c r="K1008"/>
      <c r="L1008" s="14"/>
      <c r="M1008"/>
      <c r="N1008"/>
      <c r="O1008"/>
      <c r="P1008"/>
    </row>
    <row r="1009" spans="1:16" x14ac:dyDescent="0.25">
      <c r="A1009"/>
      <c r="B1009"/>
      <c r="C1009"/>
      <c r="D1009"/>
      <c r="E1009"/>
      <c r="F1009"/>
      <c r="G1009"/>
      <c r="H1009"/>
      <c r="I1009"/>
      <c r="J1009"/>
      <c r="K1009"/>
      <c r="L1009" s="14"/>
      <c r="M1009"/>
      <c r="N1009"/>
      <c r="O1009"/>
      <c r="P1009"/>
    </row>
    <row r="1010" spans="1:16" x14ac:dyDescent="0.25">
      <c r="A1010"/>
      <c r="B1010"/>
      <c r="C1010"/>
      <c r="D1010"/>
      <c r="E1010"/>
      <c r="F1010"/>
      <c r="G1010"/>
      <c r="H1010"/>
      <c r="I1010"/>
      <c r="J1010"/>
      <c r="K1010"/>
      <c r="L1010" s="14"/>
      <c r="M1010"/>
      <c r="N1010"/>
      <c r="O1010"/>
      <c r="P1010"/>
    </row>
    <row r="1011" spans="1:16" x14ac:dyDescent="0.25">
      <c r="A1011"/>
      <c r="B1011"/>
      <c r="C1011"/>
      <c r="D1011"/>
      <c r="E1011"/>
      <c r="F1011"/>
      <c r="G1011"/>
      <c r="H1011"/>
      <c r="I1011"/>
      <c r="J1011"/>
      <c r="K1011"/>
      <c r="L1011" s="14"/>
      <c r="M1011"/>
      <c r="N1011"/>
      <c r="O1011"/>
      <c r="P1011"/>
    </row>
    <row r="1012" spans="1:16" x14ac:dyDescent="0.25">
      <c r="A1012"/>
      <c r="B1012"/>
      <c r="C1012"/>
      <c r="D1012"/>
      <c r="E1012"/>
      <c r="F1012"/>
      <c r="G1012"/>
      <c r="H1012"/>
      <c r="I1012"/>
      <c r="J1012"/>
      <c r="K1012"/>
      <c r="L1012" s="14"/>
      <c r="M1012"/>
      <c r="N1012"/>
      <c r="O1012"/>
      <c r="P1012"/>
    </row>
    <row r="1013" spans="1:16" x14ac:dyDescent="0.25">
      <c r="A1013"/>
      <c r="B1013"/>
      <c r="C1013"/>
      <c r="D1013"/>
      <c r="E1013"/>
      <c r="F1013"/>
      <c r="G1013"/>
      <c r="H1013"/>
      <c r="I1013"/>
      <c r="J1013"/>
      <c r="K1013"/>
      <c r="L1013" s="14"/>
      <c r="M1013"/>
      <c r="N1013"/>
      <c r="O1013"/>
      <c r="P1013"/>
    </row>
    <row r="1014" spans="1:16" x14ac:dyDescent="0.25">
      <c r="A1014"/>
      <c r="B1014"/>
      <c r="C1014"/>
      <c r="D1014"/>
      <c r="E1014"/>
      <c r="F1014"/>
      <c r="G1014"/>
      <c r="H1014"/>
      <c r="I1014"/>
      <c r="J1014"/>
      <c r="K1014"/>
      <c r="L1014" s="14"/>
      <c r="M1014"/>
      <c r="N1014"/>
      <c r="O1014"/>
      <c r="P1014"/>
    </row>
    <row r="1015" spans="1:16" x14ac:dyDescent="0.25">
      <c r="A1015"/>
      <c r="B1015"/>
      <c r="C1015"/>
      <c r="D1015"/>
      <c r="E1015"/>
      <c r="F1015"/>
      <c r="G1015"/>
      <c r="H1015"/>
      <c r="I1015"/>
      <c r="J1015"/>
      <c r="K1015"/>
      <c r="L1015" s="14"/>
      <c r="M1015"/>
      <c r="N1015"/>
      <c r="O1015"/>
      <c r="P1015"/>
    </row>
    <row r="1016" spans="1:16" x14ac:dyDescent="0.25">
      <c r="A1016"/>
      <c r="B1016"/>
      <c r="C1016"/>
      <c r="D1016"/>
      <c r="E1016"/>
      <c r="F1016"/>
      <c r="G1016"/>
      <c r="H1016"/>
      <c r="I1016"/>
      <c r="J1016"/>
      <c r="K1016"/>
      <c r="L1016" s="14"/>
      <c r="M1016"/>
      <c r="N1016"/>
      <c r="O1016"/>
      <c r="P1016"/>
    </row>
    <row r="1017" spans="1:16" x14ac:dyDescent="0.25">
      <c r="A1017"/>
      <c r="B1017"/>
      <c r="C1017"/>
      <c r="D1017"/>
      <c r="E1017"/>
      <c r="F1017"/>
      <c r="G1017"/>
      <c r="H1017"/>
      <c r="I1017"/>
      <c r="J1017"/>
      <c r="K1017"/>
      <c r="L1017" s="14"/>
      <c r="M1017"/>
      <c r="N1017"/>
      <c r="O1017"/>
      <c r="P1017"/>
    </row>
    <row r="1018" spans="1:16" x14ac:dyDescent="0.25">
      <c r="A1018"/>
      <c r="B1018"/>
      <c r="C1018"/>
      <c r="D1018"/>
      <c r="E1018"/>
      <c r="F1018"/>
      <c r="G1018"/>
      <c r="H1018"/>
      <c r="I1018"/>
      <c r="J1018"/>
      <c r="K1018"/>
      <c r="L1018" s="14"/>
      <c r="M1018"/>
      <c r="N1018"/>
      <c r="O1018"/>
      <c r="P1018"/>
    </row>
    <row r="1019" spans="1:16" x14ac:dyDescent="0.25">
      <c r="A1019"/>
      <c r="B1019"/>
      <c r="C1019"/>
      <c r="D1019"/>
      <c r="E1019"/>
      <c r="F1019"/>
      <c r="G1019"/>
      <c r="H1019"/>
      <c r="I1019"/>
      <c r="J1019"/>
      <c r="K1019"/>
      <c r="L1019" s="14"/>
      <c r="M1019"/>
      <c r="N1019"/>
      <c r="O1019"/>
      <c r="P1019"/>
    </row>
    <row r="1020" spans="1:16" x14ac:dyDescent="0.25">
      <c r="A1020"/>
      <c r="B1020"/>
      <c r="C1020"/>
      <c r="D1020"/>
      <c r="E1020"/>
      <c r="F1020"/>
      <c r="G1020"/>
      <c r="H1020"/>
      <c r="I1020"/>
      <c r="J1020"/>
      <c r="K1020"/>
      <c r="L1020" s="14"/>
      <c r="M1020"/>
      <c r="N1020"/>
      <c r="O1020"/>
      <c r="P1020"/>
    </row>
    <row r="1021" spans="1:16" x14ac:dyDescent="0.25">
      <c r="A1021"/>
      <c r="B1021"/>
      <c r="C1021"/>
      <c r="D1021"/>
      <c r="E1021"/>
      <c r="F1021"/>
      <c r="G1021"/>
      <c r="H1021"/>
      <c r="I1021"/>
      <c r="J1021"/>
      <c r="K1021"/>
      <c r="L1021" s="14"/>
      <c r="M1021"/>
      <c r="N1021"/>
      <c r="O1021"/>
      <c r="P1021"/>
    </row>
    <row r="1022" spans="1:16" x14ac:dyDescent="0.25">
      <c r="A1022"/>
      <c r="B1022"/>
      <c r="C1022"/>
      <c r="D1022"/>
      <c r="E1022"/>
      <c r="F1022"/>
      <c r="G1022"/>
      <c r="H1022"/>
      <c r="I1022"/>
      <c r="J1022"/>
      <c r="K1022"/>
      <c r="L1022" s="14"/>
      <c r="M1022"/>
      <c r="N1022"/>
      <c r="O1022"/>
      <c r="P1022"/>
    </row>
    <row r="1023" spans="1:16" x14ac:dyDescent="0.25">
      <c r="A1023"/>
      <c r="B1023"/>
      <c r="C1023"/>
      <c r="D1023"/>
      <c r="E1023"/>
      <c r="F1023"/>
      <c r="G1023"/>
      <c r="H1023"/>
      <c r="I1023"/>
      <c r="J1023"/>
      <c r="K1023"/>
      <c r="L1023" s="14"/>
      <c r="M1023"/>
      <c r="N1023"/>
      <c r="O1023"/>
      <c r="P1023"/>
    </row>
    <row r="1024" spans="1:16" x14ac:dyDescent="0.25">
      <c r="A1024"/>
      <c r="B1024"/>
      <c r="C1024"/>
      <c r="D1024"/>
      <c r="E1024"/>
      <c r="F1024"/>
      <c r="G1024"/>
      <c r="H1024"/>
      <c r="I1024"/>
      <c r="J1024"/>
      <c r="K1024"/>
      <c r="L1024" s="14"/>
      <c r="M1024"/>
      <c r="N1024"/>
      <c r="O1024"/>
      <c r="P1024"/>
    </row>
    <row r="1025" spans="1:16" x14ac:dyDescent="0.25">
      <c r="A1025"/>
      <c r="B1025"/>
      <c r="C1025"/>
      <c r="D1025"/>
      <c r="E1025"/>
      <c r="F1025"/>
      <c r="G1025"/>
      <c r="H1025"/>
      <c r="I1025"/>
      <c r="J1025"/>
      <c r="K1025"/>
      <c r="L1025" s="14"/>
      <c r="M1025"/>
      <c r="N1025"/>
      <c r="O1025"/>
      <c r="P1025"/>
    </row>
    <row r="1026" spans="1:16" x14ac:dyDescent="0.25">
      <c r="A1026"/>
      <c r="B1026"/>
      <c r="C1026"/>
      <c r="D1026"/>
      <c r="E1026"/>
      <c r="F1026"/>
      <c r="G1026"/>
      <c r="H1026"/>
      <c r="I1026"/>
      <c r="J1026"/>
      <c r="K1026"/>
      <c r="L1026" s="14"/>
      <c r="M1026"/>
      <c r="N1026"/>
      <c r="O1026"/>
      <c r="P1026"/>
    </row>
    <row r="1027" spans="1:16" x14ac:dyDescent="0.25">
      <c r="A1027"/>
      <c r="B1027"/>
      <c r="C1027"/>
      <c r="D1027"/>
      <c r="E1027"/>
      <c r="F1027"/>
      <c r="G1027"/>
      <c r="H1027"/>
      <c r="I1027"/>
      <c r="J1027"/>
      <c r="K1027"/>
      <c r="L1027" s="14"/>
      <c r="M1027"/>
      <c r="N1027"/>
      <c r="O1027"/>
      <c r="P1027"/>
    </row>
    <row r="1028" spans="1:16" x14ac:dyDescent="0.25">
      <c r="A1028"/>
      <c r="B1028"/>
      <c r="C1028"/>
      <c r="D1028"/>
      <c r="E1028"/>
      <c r="F1028"/>
      <c r="G1028"/>
      <c r="H1028"/>
      <c r="I1028"/>
      <c r="J1028"/>
      <c r="K1028"/>
      <c r="L1028" s="14"/>
      <c r="M1028"/>
      <c r="N1028"/>
      <c r="O1028"/>
      <c r="P1028"/>
    </row>
    <row r="1029" spans="1:16" x14ac:dyDescent="0.25">
      <c r="A1029"/>
      <c r="B1029"/>
      <c r="C1029"/>
      <c r="D1029"/>
      <c r="E1029"/>
      <c r="F1029"/>
      <c r="G1029"/>
      <c r="H1029"/>
      <c r="I1029"/>
      <c r="J1029"/>
      <c r="K1029"/>
      <c r="L1029" s="14"/>
      <c r="M1029"/>
      <c r="N1029"/>
      <c r="O1029"/>
      <c r="P1029"/>
    </row>
    <row r="1030" spans="1:16" x14ac:dyDescent="0.25">
      <c r="A1030"/>
      <c r="B1030"/>
      <c r="C1030"/>
      <c r="D1030"/>
      <c r="E1030"/>
      <c r="F1030"/>
      <c r="G1030"/>
      <c r="H1030"/>
      <c r="I1030"/>
      <c r="J1030"/>
      <c r="K1030"/>
      <c r="L1030" s="14"/>
      <c r="M1030"/>
      <c r="N1030"/>
      <c r="O1030"/>
      <c r="P1030"/>
    </row>
    <row r="1031" spans="1:16" x14ac:dyDescent="0.25">
      <c r="A1031"/>
      <c r="B1031"/>
      <c r="C1031"/>
      <c r="D1031"/>
      <c r="E1031"/>
      <c r="F1031"/>
      <c r="G1031"/>
      <c r="H1031"/>
      <c r="I1031"/>
      <c r="J1031"/>
      <c r="K1031"/>
      <c r="L1031" s="14"/>
      <c r="M1031"/>
      <c r="N1031"/>
      <c r="O1031"/>
      <c r="P1031"/>
    </row>
    <row r="1032" spans="1:16" x14ac:dyDescent="0.25">
      <c r="A1032"/>
      <c r="B1032"/>
      <c r="C1032"/>
      <c r="D1032"/>
      <c r="E1032"/>
      <c r="F1032"/>
      <c r="G1032"/>
      <c r="H1032"/>
      <c r="I1032"/>
      <c r="J1032"/>
      <c r="K1032"/>
      <c r="L1032" s="14"/>
      <c r="M1032"/>
      <c r="N1032"/>
      <c r="O1032"/>
      <c r="P1032"/>
    </row>
    <row r="1033" spans="1:16" x14ac:dyDescent="0.25">
      <c r="A1033"/>
      <c r="B1033"/>
      <c r="C1033"/>
      <c r="D1033"/>
      <c r="E1033"/>
      <c r="F1033"/>
      <c r="G1033"/>
      <c r="H1033"/>
      <c r="I1033"/>
      <c r="J1033"/>
      <c r="K1033"/>
      <c r="L1033" s="14"/>
      <c r="M1033"/>
      <c r="N1033"/>
      <c r="O1033"/>
      <c r="P1033"/>
    </row>
    <row r="1034" spans="1:16" x14ac:dyDescent="0.25">
      <c r="A1034"/>
      <c r="B1034"/>
      <c r="C1034"/>
      <c r="D1034"/>
      <c r="E1034"/>
      <c r="F1034"/>
      <c r="G1034"/>
      <c r="H1034"/>
      <c r="I1034"/>
      <c r="J1034"/>
      <c r="K1034"/>
      <c r="L1034" s="14"/>
      <c r="M1034"/>
      <c r="N1034"/>
      <c r="O1034"/>
      <c r="P1034"/>
    </row>
    <row r="1035" spans="1:16" x14ac:dyDescent="0.25">
      <c r="A1035"/>
      <c r="B1035"/>
      <c r="C1035"/>
      <c r="D1035"/>
      <c r="E1035"/>
      <c r="F1035"/>
      <c r="G1035"/>
      <c r="H1035"/>
      <c r="I1035"/>
      <c r="J1035"/>
      <c r="K1035"/>
      <c r="L1035" s="14"/>
      <c r="M1035"/>
      <c r="N1035"/>
      <c r="O1035"/>
      <c r="P1035"/>
    </row>
    <row r="1036" spans="1:16" x14ac:dyDescent="0.25">
      <c r="A1036"/>
      <c r="B1036"/>
      <c r="C1036"/>
      <c r="D1036"/>
      <c r="E1036"/>
      <c r="F1036"/>
      <c r="G1036"/>
      <c r="H1036"/>
      <c r="I1036"/>
      <c r="J1036"/>
      <c r="K1036"/>
      <c r="L1036" s="14"/>
      <c r="M1036"/>
      <c r="N1036"/>
      <c r="O1036"/>
      <c r="P1036"/>
    </row>
    <row r="1037" spans="1:16" x14ac:dyDescent="0.25">
      <c r="A1037"/>
      <c r="B1037"/>
      <c r="C1037"/>
      <c r="D1037"/>
      <c r="E1037"/>
      <c r="F1037"/>
      <c r="G1037"/>
      <c r="H1037"/>
      <c r="I1037"/>
      <c r="J1037"/>
      <c r="K1037"/>
      <c r="L1037" s="14"/>
      <c r="M1037"/>
      <c r="N1037"/>
      <c r="O1037"/>
      <c r="P1037"/>
    </row>
    <row r="1038" spans="1:16" x14ac:dyDescent="0.25">
      <c r="A1038"/>
      <c r="B1038"/>
      <c r="C1038"/>
      <c r="D1038"/>
      <c r="E1038"/>
      <c r="F1038"/>
      <c r="G1038"/>
      <c r="H1038"/>
      <c r="I1038"/>
      <c r="J1038"/>
      <c r="K1038"/>
      <c r="L1038" s="14"/>
      <c r="M1038"/>
      <c r="N1038"/>
      <c r="O1038"/>
      <c r="P1038"/>
    </row>
    <row r="1039" spans="1:16" x14ac:dyDescent="0.25">
      <c r="A1039"/>
      <c r="B1039"/>
      <c r="C1039"/>
      <c r="D1039"/>
      <c r="E1039"/>
      <c r="F1039"/>
      <c r="G1039"/>
      <c r="H1039"/>
      <c r="I1039"/>
      <c r="J1039"/>
      <c r="K1039"/>
      <c r="L1039" s="14"/>
      <c r="M1039"/>
      <c r="N1039"/>
      <c r="O1039"/>
      <c r="P1039"/>
    </row>
    <row r="1040" spans="1:16" x14ac:dyDescent="0.25">
      <c r="A1040"/>
      <c r="B1040"/>
      <c r="C1040"/>
      <c r="D1040"/>
      <c r="E1040"/>
      <c r="F1040"/>
      <c r="G1040"/>
      <c r="H1040"/>
      <c r="I1040"/>
      <c r="J1040"/>
      <c r="K1040"/>
      <c r="L1040" s="14"/>
      <c r="M1040"/>
      <c r="N1040"/>
      <c r="O1040"/>
      <c r="P1040"/>
    </row>
    <row r="1041" spans="1:16" x14ac:dyDescent="0.25">
      <c r="A1041"/>
      <c r="B1041"/>
      <c r="C1041"/>
      <c r="D1041"/>
      <c r="E1041"/>
      <c r="F1041"/>
      <c r="G1041"/>
      <c r="H1041"/>
      <c r="I1041"/>
      <c r="J1041"/>
      <c r="K1041"/>
      <c r="L1041" s="14"/>
      <c r="M1041"/>
      <c r="N1041"/>
      <c r="O1041"/>
      <c r="P1041"/>
    </row>
    <row r="1042" spans="1:16" x14ac:dyDescent="0.25">
      <c r="A1042"/>
      <c r="B1042"/>
      <c r="C1042"/>
      <c r="D1042"/>
      <c r="E1042"/>
      <c r="F1042"/>
      <c r="G1042"/>
      <c r="H1042"/>
      <c r="I1042"/>
      <c r="J1042"/>
      <c r="K1042"/>
      <c r="L1042" s="14"/>
      <c r="M1042"/>
      <c r="N1042"/>
      <c r="O1042"/>
      <c r="P1042"/>
    </row>
    <row r="1043" spans="1:16" x14ac:dyDescent="0.25">
      <c r="A1043"/>
      <c r="B1043"/>
      <c r="C1043"/>
      <c r="D1043"/>
      <c r="E1043"/>
      <c r="F1043"/>
      <c r="G1043"/>
      <c r="H1043"/>
      <c r="I1043"/>
      <c r="J1043"/>
      <c r="K1043"/>
      <c r="L1043" s="14"/>
      <c r="M1043"/>
      <c r="N1043"/>
      <c r="O1043"/>
      <c r="P1043"/>
    </row>
    <row r="1044" spans="1:16" x14ac:dyDescent="0.25">
      <c r="A1044"/>
      <c r="B1044"/>
      <c r="C1044"/>
      <c r="D1044"/>
      <c r="E1044"/>
      <c r="F1044"/>
      <c r="G1044"/>
      <c r="H1044"/>
      <c r="I1044"/>
      <c r="J1044"/>
      <c r="K1044"/>
      <c r="L1044" s="14"/>
      <c r="M1044"/>
      <c r="N1044"/>
      <c r="O1044"/>
      <c r="P1044"/>
    </row>
    <row r="1045" spans="1:16" x14ac:dyDescent="0.25">
      <c r="A1045"/>
      <c r="B1045"/>
      <c r="C1045"/>
      <c r="D1045"/>
      <c r="E1045"/>
      <c r="F1045"/>
      <c r="G1045"/>
      <c r="H1045"/>
      <c r="I1045"/>
      <c r="J1045"/>
      <c r="K1045"/>
      <c r="L1045" s="14"/>
      <c r="M1045"/>
      <c r="N1045"/>
      <c r="O1045"/>
      <c r="P1045"/>
    </row>
    <row r="1046" spans="1:16" x14ac:dyDescent="0.25">
      <c r="A1046"/>
      <c r="B1046"/>
      <c r="C1046"/>
      <c r="D1046"/>
      <c r="E1046"/>
      <c r="F1046"/>
      <c r="G1046"/>
      <c r="H1046"/>
      <c r="I1046"/>
      <c r="J1046"/>
      <c r="K1046"/>
      <c r="L1046" s="14"/>
      <c r="M1046"/>
      <c r="N1046"/>
      <c r="O1046"/>
      <c r="P1046"/>
    </row>
    <row r="1047" spans="1:16" x14ac:dyDescent="0.25">
      <c r="A1047"/>
      <c r="B1047"/>
      <c r="C1047"/>
      <c r="D1047"/>
      <c r="E1047"/>
      <c r="F1047"/>
      <c r="G1047"/>
      <c r="H1047"/>
      <c r="I1047"/>
      <c r="J1047"/>
      <c r="K1047"/>
      <c r="L1047" s="14"/>
      <c r="M1047"/>
      <c r="N1047"/>
      <c r="O1047"/>
      <c r="P1047"/>
    </row>
    <row r="1048" spans="1:16" x14ac:dyDescent="0.25">
      <c r="A1048"/>
      <c r="B1048"/>
      <c r="C1048"/>
      <c r="D1048"/>
      <c r="E1048"/>
      <c r="F1048"/>
      <c r="G1048"/>
      <c r="H1048"/>
      <c r="I1048"/>
      <c r="J1048"/>
      <c r="K1048"/>
      <c r="L1048" s="14"/>
      <c r="M1048"/>
      <c r="N1048"/>
      <c r="O1048"/>
      <c r="P1048"/>
    </row>
    <row r="1049" spans="1:16" x14ac:dyDescent="0.25">
      <c r="A1049"/>
      <c r="B1049"/>
      <c r="C1049"/>
      <c r="D1049"/>
      <c r="E1049"/>
      <c r="F1049"/>
      <c r="G1049"/>
      <c r="H1049"/>
      <c r="I1049"/>
      <c r="J1049"/>
      <c r="K1049"/>
      <c r="L1049" s="14"/>
      <c r="M1049"/>
      <c r="N1049"/>
      <c r="O1049"/>
      <c r="P1049"/>
    </row>
    <row r="1050" spans="1:16" x14ac:dyDescent="0.25">
      <c r="A1050"/>
      <c r="B1050"/>
      <c r="C1050"/>
      <c r="D1050"/>
      <c r="E1050"/>
      <c r="F1050"/>
      <c r="G1050"/>
      <c r="H1050"/>
      <c r="I1050"/>
      <c r="J1050"/>
      <c r="K1050"/>
      <c r="L1050" s="14"/>
      <c r="M1050"/>
      <c r="N1050"/>
      <c r="O1050"/>
      <c r="P1050"/>
    </row>
    <row r="1051" spans="1:16" x14ac:dyDescent="0.25">
      <c r="A1051"/>
      <c r="B1051"/>
      <c r="C1051"/>
      <c r="D1051"/>
      <c r="E1051"/>
      <c r="F1051"/>
      <c r="G1051"/>
      <c r="H1051"/>
      <c r="I1051"/>
      <c r="J1051"/>
      <c r="K1051"/>
      <c r="L1051" s="14"/>
      <c r="M1051"/>
      <c r="N1051"/>
      <c r="O1051"/>
      <c r="P1051"/>
    </row>
    <row r="1052" spans="1:16" x14ac:dyDescent="0.25">
      <c r="A1052"/>
      <c r="B1052"/>
      <c r="C1052"/>
      <c r="D1052"/>
      <c r="E1052"/>
      <c r="F1052"/>
      <c r="G1052"/>
      <c r="H1052"/>
      <c r="I1052"/>
      <c r="J1052"/>
      <c r="K1052"/>
      <c r="L1052" s="14"/>
      <c r="M1052"/>
      <c r="N1052"/>
      <c r="O1052"/>
      <c r="P1052"/>
    </row>
    <row r="1053" spans="1:16" x14ac:dyDescent="0.25">
      <c r="A1053"/>
      <c r="B1053"/>
      <c r="C1053"/>
      <c r="D1053"/>
      <c r="E1053"/>
      <c r="F1053"/>
      <c r="G1053"/>
      <c r="H1053"/>
      <c r="I1053"/>
      <c r="J1053"/>
      <c r="K1053"/>
      <c r="L1053" s="14"/>
      <c r="M1053"/>
      <c r="N1053"/>
      <c r="O1053"/>
      <c r="P1053"/>
    </row>
    <row r="1054" spans="1:16" x14ac:dyDescent="0.25">
      <c r="A1054"/>
      <c r="B1054"/>
      <c r="C1054"/>
      <c r="D1054"/>
      <c r="E1054"/>
      <c r="F1054"/>
      <c r="G1054"/>
      <c r="H1054"/>
      <c r="I1054"/>
      <c r="J1054"/>
      <c r="K1054"/>
      <c r="L1054" s="14"/>
      <c r="M1054"/>
      <c r="N1054"/>
      <c r="O1054"/>
      <c r="P1054"/>
    </row>
    <row r="1055" spans="1:16" x14ac:dyDescent="0.25">
      <c r="A1055"/>
      <c r="B1055"/>
      <c r="C1055"/>
      <c r="D1055"/>
      <c r="E1055"/>
      <c r="F1055"/>
      <c r="G1055"/>
      <c r="H1055"/>
      <c r="I1055"/>
      <c r="J1055"/>
      <c r="K1055"/>
      <c r="L1055" s="14"/>
      <c r="M1055"/>
      <c r="N1055"/>
      <c r="O1055"/>
      <c r="P1055"/>
    </row>
    <row r="1056" spans="1:16" x14ac:dyDescent="0.25">
      <c r="A1056"/>
      <c r="B1056"/>
      <c r="C1056"/>
      <c r="D1056"/>
      <c r="E1056"/>
      <c r="F1056"/>
      <c r="G1056"/>
      <c r="H1056"/>
      <c r="I1056"/>
      <c r="J1056"/>
      <c r="K1056"/>
      <c r="L1056" s="14"/>
      <c r="M1056"/>
      <c r="N1056"/>
      <c r="O1056"/>
      <c r="P1056"/>
    </row>
    <row r="1057" spans="1:16" x14ac:dyDescent="0.25">
      <c r="A1057"/>
      <c r="B1057"/>
      <c r="C1057"/>
      <c r="D1057"/>
      <c r="E1057"/>
      <c r="F1057"/>
      <c r="G1057"/>
      <c r="H1057"/>
      <c r="I1057"/>
      <c r="J1057"/>
      <c r="K1057"/>
      <c r="L1057" s="14"/>
      <c r="M1057"/>
      <c r="N1057"/>
      <c r="O1057"/>
      <c r="P1057"/>
    </row>
    <row r="1058" spans="1:16" x14ac:dyDescent="0.25">
      <c r="A1058"/>
      <c r="B1058"/>
      <c r="C1058"/>
      <c r="D1058"/>
      <c r="E1058"/>
      <c r="F1058"/>
      <c r="G1058"/>
      <c r="H1058"/>
      <c r="I1058"/>
      <c r="J1058"/>
      <c r="K1058"/>
      <c r="L1058" s="14"/>
      <c r="M1058"/>
      <c r="N1058"/>
      <c r="O1058"/>
      <c r="P1058"/>
    </row>
    <row r="1059" spans="1:16" x14ac:dyDescent="0.25">
      <c r="A1059"/>
      <c r="B1059"/>
      <c r="C1059"/>
      <c r="D1059"/>
      <c r="E1059"/>
      <c r="F1059"/>
      <c r="G1059"/>
      <c r="H1059"/>
      <c r="I1059"/>
      <c r="J1059"/>
      <c r="K1059"/>
      <c r="L1059" s="14"/>
      <c r="M1059"/>
      <c r="N1059"/>
      <c r="O1059"/>
      <c r="P1059"/>
    </row>
    <row r="1060" spans="1:16" x14ac:dyDescent="0.25">
      <c r="A1060"/>
      <c r="B1060"/>
      <c r="C1060"/>
      <c r="D1060"/>
      <c r="E1060"/>
      <c r="F1060"/>
      <c r="G1060"/>
      <c r="H1060"/>
      <c r="I1060"/>
      <c r="J1060"/>
      <c r="K1060"/>
      <c r="L1060" s="14"/>
      <c r="M1060"/>
      <c r="N1060"/>
      <c r="O1060"/>
      <c r="P1060"/>
    </row>
    <row r="1061" spans="1:16" x14ac:dyDescent="0.25">
      <c r="A1061"/>
      <c r="B1061"/>
      <c r="C1061"/>
      <c r="D1061"/>
      <c r="E1061"/>
      <c r="F1061"/>
      <c r="G1061"/>
      <c r="H1061"/>
      <c r="I1061"/>
      <c r="J1061"/>
      <c r="K1061"/>
      <c r="L1061" s="14"/>
      <c r="M1061"/>
      <c r="N1061"/>
      <c r="O1061"/>
      <c r="P1061"/>
    </row>
    <row r="1062" spans="1:16" x14ac:dyDescent="0.25">
      <c r="A1062"/>
      <c r="B1062"/>
      <c r="C1062"/>
      <c r="D1062"/>
      <c r="E1062"/>
      <c r="F1062"/>
      <c r="G1062"/>
      <c r="H1062"/>
      <c r="I1062"/>
      <c r="J1062"/>
      <c r="K1062"/>
      <c r="L1062" s="14"/>
      <c r="M1062"/>
      <c r="N1062"/>
      <c r="O1062"/>
      <c r="P1062"/>
    </row>
    <row r="1063" spans="1:16" x14ac:dyDescent="0.25">
      <c r="A1063"/>
      <c r="B1063"/>
      <c r="C1063"/>
      <c r="D1063"/>
      <c r="E1063"/>
      <c r="F1063"/>
      <c r="G1063"/>
      <c r="H1063"/>
      <c r="I1063"/>
      <c r="J1063"/>
      <c r="K1063"/>
      <c r="L1063" s="14"/>
      <c r="M1063"/>
      <c r="N1063"/>
      <c r="O1063"/>
      <c r="P1063"/>
    </row>
    <row r="1064" spans="1:16" x14ac:dyDescent="0.25">
      <c r="A1064"/>
      <c r="B1064"/>
      <c r="C1064"/>
      <c r="D1064"/>
      <c r="E1064"/>
      <c r="F1064"/>
      <c r="G1064"/>
      <c r="H1064"/>
      <c r="I1064"/>
      <c r="J1064"/>
      <c r="K1064"/>
      <c r="L1064" s="14"/>
      <c r="M1064"/>
      <c r="N1064"/>
      <c r="O1064"/>
      <c r="P1064"/>
    </row>
    <row r="1065" spans="1:16" x14ac:dyDescent="0.25">
      <c r="A1065"/>
      <c r="B1065"/>
      <c r="C1065"/>
      <c r="D1065"/>
      <c r="E1065"/>
      <c r="F1065"/>
      <c r="G1065"/>
      <c r="H1065"/>
      <c r="I1065"/>
      <c r="J1065"/>
      <c r="K1065"/>
      <c r="L1065" s="14"/>
      <c r="M1065"/>
      <c r="N1065"/>
      <c r="O1065"/>
      <c r="P1065"/>
    </row>
    <row r="1066" spans="1:16" x14ac:dyDescent="0.25">
      <c r="A1066"/>
      <c r="B1066"/>
      <c r="C1066"/>
      <c r="D1066"/>
      <c r="E1066"/>
      <c r="F1066"/>
      <c r="G1066"/>
      <c r="H1066"/>
      <c r="I1066"/>
      <c r="J1066"/>
      <c r="K1066"/>
      <c r="L1066" s="14"/>
      <c r="M1066"/>
      <c r="N1066"/>
      <c r="O1066"/>
      <c r="P1066"/>
    </row>
    <row r="1067" spans="1:16" x14ac:dyDescent="0.25">
      <c r="A1067"/>
      <c r="B1067"/>
      <c r="C1067"/>
      <c r="D1067"/>
      <c r="E1067"/>
      <c r="F1067"/>
      <c r="G1067"/>
      <c r="H1067"/>
      <c r="I1067"/>
      <c r="J1067"/>
      <c r="K1067"/>
      <c r="L1067" s="14"/>
      <c r="M1067"/>
      <c r="N1067"/>
      <c r="O1067"/>
      <c r="P1067"/>
    </row>
    <row r="1068" spans="1:16" x14ac:dyDescent="0.25">
      <c r="A1068"/>
      <c r="B1068"/>
      <c r="C1068"/>
      <c r="D1068"/>
      <c r="E1068"/>
      <c r="F1068"/>
      <c r="G1068"/>
      <c r="H1068"/>
      <c r="I1068"/>
      <c r="J1068"/>
      <c r="K1068"/>
      <c r="L1068" s="14"/>
      <c r="M1068"/>
      <c r="N1068"/>
      <c r="O1068"/>
      <c r="P1068"/>
    </row>
    <row r="1069" spans="1:16" x14ac:dyDescent="0.25">
      <c r="A1069"/>
      <c r="B1069"/>
      <c r="C1069"/>
      <c r="D1069"/>
      <c r="E1069"/>
      <c r="F1069"/>
      <c r="G1069"/>
      <c r="H1069"/>
      <c r="I1069"/>
      <c r="J1069"/>
      <c r="K1069"/>
      <c r="L1069" s="14"/>
      <c r="M1069"/>
      <c r="N1069"/>
      <c r="O1069"/>
      <c r="P1069"/>
    </row>
    <row r="1070" spans="1:16" x14ac:dyDescent="0.25">
      <c r="A1070"/>
      <c r="B1070"/>
      <c r="C1070"/>
      <c r="D1070"/>
      <c r="E1070"/>
      <c r="F1070"/>
      <c r="G1070"/>
      <c r="H1070"/>
      <c r="I1070"/>
      <c r="J1070"/>
      <c r="K1070"/>
      <c r="L1070" s="14"/>
      <c r="M1070"/>
      <c r="N1070"/>
      <c r="O1070"/>
      <c r="P1070"/>
    </row>
    <row r="1071" spans="1:16" x14ac:dyDescent="0.25">
      <c r="A1071"/>
      <c r="B1071"/>
      <c r="C1071"/>
      <c r="D1071"/>
      <c r="E1071"/>
      <c r="F1071"/>
      <c r="G1071"/>
      <c r="H1071"/>
      <c r="I1071"/>
      <c r="J1071"/>
      <c r="K1071"/>
      <c r="L1071" s="14"/>
      <c r="M1071"/>
      <c r="N1071"/>
      <c r="O1071"/>
      <c r="P1071"/>
    </row>
    <row r="1072" spans="1:16" x14ac:dyDescent="0.25">
      <c r="A1072"/>
      <c r="B1072"/>
      <c r="C1072"/>
      <c r="D1072"/>
      <c r="E1072"/>
      <c r="F1072"/>
      <c r="G1072"/>
      <c r="H1072"/>
      <c r="I1072"/>
      <c r="J1072"/>
      <c r="K1072"/>
      <c r="L1072" s="14"/>
      <c r="M1072"/>
      <c r="N1072"/>
      <c r="O1072"/>
      <c r="P1072"/>
    </row>
    <row r="1073" spans="1:16" x14ac:dyDescent="0.25">
      <c r="A1073"/>
      <c r="B1073"/>
      <c r="C1073"/>
      <c r="D1073"/>
      <c r="E1073"/>
      <c r="F1073"/>
      <c r="G1073"/>
      <c r="H1073"/>
      <c r="I1073"/>
      <c r="J1073"/>
      <c r="K1073"/>
      <c r="L1073" s="14"/>
      <c r="M1073"/>
      <c r="N1073"/>
      <c r="O1073"/>
      <c r="P1073"/>
    </row>
    <row r="1074" spans="1:16" x14ac:dyDescent="0.25">
      <c r="A1074"/>
      <c r="B1074"/>
      <c r="C1074"/>
      <c r="D1074"/>
      <c r="E1074"/>
      <c r="F1074"/>
      <c r="G1074"/>
      <c r="H1074"/>
      <c r="I1074"/>
      <c r="J1074"/>
      <c r="K1074"/>
      <c r="L1074" s="14"/>
      <c r="M1074"/>
      <c r="N1074"/>
      <c r="O1074"/>
      <c r="P1074"/>
    </row>
    <row r="1075" spans="1:16" x14ac:dyDescent="0.25">
      <c r="A1075"/>
      <c r="B1075"/>
      <c r="C1075"/>
      <c r="D1075"/>
      <c r="E1075"/>
      <c r="F1075"/>
      <c r="G1075"/>
      <c r="H1075"/>
      <c r="I1075"/>
      <c r="J1075"/>
      <c r="K1075"/>
      <c r="L1075" s="14"/>
      <c r="M1075"/>
      <c r="N1075"/>
      <c r="O1075"/>
      <c r="P1075"/>
    </row>
    <row r="1076" spans="1:16" x14ac:dyDescent="0.25">
      <c r="A1076"/>
      <c r="B1076"/>
      <c r="C1076"/>
      <c r="D1076"/>
      <c r="E1076"/>
      <c r="F1076"/>
      <c r="G1076"/>
      <c r="H1076"/>
      <c r="I1076"/>
      <c r="J1076"/>
      <c r="K1076"/>
      <c r="L1076" s="14"/>
      <c r="M1076"/>
      <c r="N1076"/>
      <c r="O1076"/>
      <c r="P1076"/>
    </row>
    <row r="1077" spans="1:16" x14ac:dyDescent="0.25">
      <c r="A1077"/>
      <c r="B1077"/>
      <c r="C1077"/>
      <c r="D1077"/>
      <c r="E1077"/>
      <c r="F1077"/>
      <c r="G1077"/>
      <c r="H1077"/>
      <c r="I1077"/>
      <c r="J1077"/>
      <c r="K1077"/>
      <c r="L1077" s="14"/>
      <c r="M1077"/>
      <c r="N1077"/>
      <c r="O1077"/>
      <c r="P1077"/>
    </row>
    <row r="1078" spans="1:16" x14ac:dyDescent="0.25">
      <c r="A1078"/>
      <c r="B1078"/>
      <c r="C1078"/>
      <c r="D1078"/>
      <c r="E1078"/>
      <c r="F1078"/>
      <c r="G1078"/>
      <c r="H1078"/>
      <c r="I1078"/>
      <c r="J1078"/>
      <c r="K1078"/>
      <c r="L1078" s="14"/>
      <c r="M1078"/>
      <c r="N1078"/>
      <c r="O1078"/>
      <c r="P1078"/>
    </row>
    <row r="1079" spans="1:16" x14ac:dyDescent="0.25">
      <c r="A1079"/>
      <c r="B1079"/>
      <c r="C1079"/>
      <c r="D1079"/>
      <c r="E1079"/>
      <c r="F1079"/>
      <c r="G1079"/>
      <c r="H1079"/>
      <c r="I1079"/>
      <c r="J1079"/>
      <c r="K1079"/>
      <c r="L1079" s="14"/>
      <c r="M1079"/>
      <c r="N1079"/>
      <c r="O1079"/>
      <c r="P1079"/>
    </row>
    <row r="1080" spans="1:16" x14ac:dyDescent="0.25">
      <c r="A1080"/>
      <c r="B1080"/>
      <c r="C1080"/>
      <c r="D1080"/>
      <c r="E1080"/>
      <c r="F1080"/>
      <c r="G1080"/>
      <c r="H1080"/>
      <c r="I1080"/>
      <c r="J1080"/>
      <c r="K1080"/>
      <c r="L1080" s="14"/>
      <c r="M1080"/>
      <c r="N1080"/>
      <c r="O1080"/>
      <c r="P1080"/>
    </row>
    <row r="1081" spans="1:16" x14ac:dyDescent="0.25">
      <c r="A1081"/>
      <c r="B1081"/>
      <c r="C1081"/>
      <c r="D1081"/>
      <c r="E1081"/>
      <c r="F1081"/>
      <c r="G1081"/>
      <c r="H1081"/>
      <c r="I1081"/>
      <c r="J1081"/>
      <c r="K1081"/>
      <c r="L1081" s="14"/>
      <c r="M1081"/>
      <c r="N1081"/>
      <c r="O1081"/>
      <c r="P1081"/>
    </row>
    <row r="1082" spans="1:16" x14ac:dyDescent="0.25">
      <c r="A1082"/>
      <c r="B1082"/>
      <c r="C1082"/>
      <c r="D1082"/>
      <c r="E1082"/>
      <c r="F1082"/>
      <c r="G1082"/>
      <c r="H1082"/>
      <c r="I1082"/>
      <c r="J1082"/>
      <c r="K1082"/>
      <c r="L1082" s="14"/>
      <c r="M1082"/>
      <c r="N1082"/>
      <c r="O1082"/>
      <c r="P1082"/>
    </row>
    <row r="1083" spans="1:16" x14ac:dyDescent="0.25">
      <c r="A1083"/>
      <c r="B1083"/>
      <c r="C1083"/>
      <c r="D1083"/>
      <c r="E1083"/>
      <c r="F1083"/>
      <c r="G1083"/>
      <c r="H1083"/>
      <c r="I1083"/>
      <c r="J1083"/>
      <c r="K1083"/>
      <c r="L1083" s="14"/>
      <c r="M1083"/>
      <c r="N1083"/>
      <c r="O1083"/>
      <c r="P1083"/>
    </row>
    <row r="1084" spans="1:16" x14ac:dyDescent="0.25">
      <c r="A1084"/>
      <c r="B1084"/>
      <c r="C1084"/>
      <c r="D1084"/>
      <c r="E1084"/>
      <c r="F1084"/>
      <c r="G1084"/>
      <c r="H1084"/>
      <c r="I1084"/>
      <c r="J1084"/>
      <c r="K1084"/>
      <c r="L1084" s="14"/>
      <c r="M1084"/>
      <c r="N1084"/>
      <c r="O1084"/>
      <c r="P1084"/>
    </row>
    <row r="1085" spans="1:16" x14ac:dyDescent="0.25">
      <c r="A1085"/>
      <c r="B1085"/>
      <c r="C1085"/>
      <c r="D1085"/>
      <c r="E1085"/>
      <c r="F1085"/>
      <c r="G1085"/>
      <c r="H1085"/>
      <c r="I1085"/>
      <c r="J1085"/>
      <c r="K1085"/>
      <c r="L1085" s="14"/>
      <c r="M1085"/>
      <c r="N1085"/>
      <c r="O1085"/>
      <c r="P1085"/>
    </row>
    <row r="1086" spans="1:16" x14ac:dyDescent="0.25">
      <c r="A1086"/>
      <c r="B1086"/>
      <c r="C1086"/>
      <c r="D1086"/>
      <c r="E1086"/>
      <c r="F1086"/>
      <c r="G1086"/>
      <c r="H1086"/>
      <c r="I1086"/>
      <c r="J1086"/>
      <c r="K1086"/>
      <c r="L1086" s="14"/>
      <c r="M1086"/>
      <c r="N1086"/>
      <c r="O1086"/>
      <c r="P1086"/>
    </row>
    <row r="1087" spans="1:16" x14ac:dyDescent="0.25">
      <c r="A1087"/>
      <c r="B1087"/>
      <c r="C1087"/>
      <c r="D1087"/>
      <c r="E1087"/>
      <c r="F1087"/>
      <c r="G1087"/>
      <c r="H1087"/>
      <c r="I1087"/>
      <c r="J1087"/>
      <c r="K1087"/>
      <c r="L1087" s="14"/>
      <c r="M1087"/>
      <c r="N1087"/>
      <c r="O1087"/>
      <c r="P1087"/>
    </row>
    <row r="1088" spans="1:16" x14ac:dyDescent="0.25">
      <c r="A1088"/>
      <c r="B1088"/>
      <c r="C1088"/>
      <c r="D1088"/>
      <c r="E1088"/>
      <c r="F1088"/>
      <c r="G1088"/>
      <c r="H1088"/>
      <c r="I1088"/>
      <c r="J1088"/>
      <c r="K1088"/>
      <c r="L1088" s="14"/>
      <c r="M1088"/>
      <c r="N1088"/>
      <c r="O1088"/>
      <c r="P1088"/>
    </row>
    <row r="1089" spans="1:16" x14ac:dyDescent="0.25">
      <c r="A1089"/>
      <c r="B1089"/>
      <c r="C1089"/>
      <c r="D1089"/>
      <c r="E1089"/>
      <c r="F1089"/>
      <c r="G1089"/>
      <c r="H1089"/>
      <c r="I1089"/>
      <c r="J1089"/>
      <c r="K1089"/>
      <c r="L1089" s="14"/>
      <c r="M1089"/>
      <c r="N1089"/>
      <c r="O1089"/>
      <c r="P1089"/>
    </row>
    <row r="1090" spans="1:16" x14ac:dyDescent="0.25">
      <c r="A1090"/>
      <c r="B1090"/>
      <c r="C1090"/>
      <c r="D1090"/>
      <c r="E1090"/>
      <c r="F1090"/>
      <c r="G1090"/>
      <c r="H1090"/>
      <c r="I1090"/>
      <c r="J1090"/>
      <c r="K1090"/>
      <c r="L1090" s="14"/>
      <c r="M1090"/>
      <c r="N1090"/>
      <c r="O1090"/>
      <c r="P1090"/>
    </row>
    <row r="1091" spans="1:16" x14ac:dyDescent="0.25">
      <c r="A1091"/>
      <c r="B1091"/>
      <c r="C1091"/>
      <c r="D1091"/>
      <c r="E1091"/>
      <c r="F1091"/>
      <c r="G1091"/>
      <c r="H1091"/>
      <c r="I1091"/>
      <c r="J1091"/>
      <c r="K1091"/>
      <c r="L1091" s="14"/>
      <c r="M1091"/>
      <c r="N1091"/>
      <c r="O1091"/>
      <c r="P1091"/>
    </row>
    <row r="1092" spans="1:16" x14ac:dyDescent="0.25">
      <c r="A1092"/>
      <c r="B1092"/>
      <c r="C1092"/>
      <c r="D1092"/>
      <c r="E1092"/>
      <c r="F1092"/>
      <c r="G1092"/>
      <c r="H1092"/>
      <c r="I1092"/>
      <c r="J1092"/>
      <c r="K1092"/>
      <c r="L1092" s="14"/>
      <c r="M1092"/>
      <c r="N1092"/>
      <c r="O1092"/>
      <c r="P1092"/>
    </row>
    <row r="1093" spans="1:16" x14ac:dyDescent="0.25">
      <c r="A1093"/>
      <c r="B1093"/>
      <c r="C1093"/>
      <c r="D1093"/>
      <c r="E1093"/>
      <c r="F1093"/>
      <c r="G1093"/>
      <c r="H1093"/>
      <c r="I1093"/>
      <c r="J1093"/>
      <c r="K1093"/>
      <c r="L1093" s="14"/>
      <c r="M1093"/>
      <c r="N1093"/>
      <c r="O1093"/>
      <c r="P1093"/>
    </row>
    <row r="1094" spans="1:16" x14ac:dyDescent="0.25">
      <c r="A1094"/>
      <c r="B1094"/>
      <c r="C1094"/>
      <c r="D1094"/>
      <c r="E1094"/>
      <c r="F1094"/>
      <c r="G1094"/>
      <c r="H1094"/>
      <c r="I1094"/>
      <c r="J1094"/>
      <c r="K1094"/>
      <c r="L1094" s="14"/>
      <c r="M1094"/>
      <c r="N1094"/>
      <c r="O1094"/>
      <c r="P1094"/>
    </row>
    <row r="1095" spans="1:16" x14ac:dyDescent="0.25">
      <c r="A1095"/>
      <c r="B1095"/>
      <c r="C1095"/>
      <c r="D1095"/>
      <c r="E1095"/>
      <c r="F1095"/>
      <c r="G1095"/>
      <c r="H1095"/>
      <c r="I1095"/>
      <c r="J1095"/>
      <c r="K1095"/>
      <c r="L1095" s="14"/>
      <c r="M1095"/>
      <c r="N1095"/>
      <c r="O1095"/>
      <c r="P1095"/>
    </row>
    <row r="1096" spans="1:16" x14ac:dyDescent="0.25">
      <c r="A1096"/>
      <c r="B1096"/>
      <c r="C1096"/>
      <c r="D1096"/>
      <c r="E1096"/>
      <c r="F1096"/>
      <c r="G1096"/>
      <c r="H1096"/>
      <c r="I1096"/>
      <c r="J1096"/>
      <c r="K1096"/>
      <c r="L1096" s="14"/>
      <c r="M1096"/>
      <c r="N1096"/>
      <c r="O1096"/>
      <c r="P1096"/>
    </row>
    <row r="1097" spans="1:16" x14ac:dyDescent="0.25">
      <c r="A1097"/>
      <c r="B1097"/>
      <c r="C1097"/>
      <c r="D1097"/>
      <c r="E1097"/>
      <c r="F1097"/>
      <c r="G1097"/>
      <c r="H1097"/>
      <c r="I1097"/>
      <c r="J1097"/>
      <c r="K1097"/>
      <c r="L1097" s="14"/>
      <c r="M1097"/>
      <c r="N1097"/>
      <c r="O1097"/>
      <c r="P1097"/>
    </row>
    <row r="1098" spans="1:16" x14ac:dyDescent="0.25">
      <c r="A1098"/>
      <c r="B1098"/>
      <c r="C1098"/>
      <c r="D1098"/>
      <c r="E1098"/>
      <c r="F1098"/>
      <c r="G1098"/>
      <c r="H1098"/>
      <c r="I1098"/>
      <c r="J1098"/>
      <c r="K1098"/>
      <c r="L1098" s="14"/>
      <c r="M1098"/>
      <c r="N1098"/>
      <c r="O1098"/>
      <c r="P1098"/>
    </row>
    <row r="1099" spans="1:16" x14ac:dyDescent="0.25">
      <c r="A1099"/>
      <c r="B1099"/>
      <c r="C1099"/>
      <c r="D1099"/>
      <c r="E1099"/>
      <c r="F1099"/>
      <c r="G1099"/>
      <c r="H1099"/>
      <c r="I1099"/>
      <c r="J1099"/>
      <c r="K1099"/>
      <c r="L1099" s="14"/>
      <c r="M1099"/>
      <c r="N1099"/>
      <c r="O1099"/>
      <c r="P1099"/>
    </row>
    <row r="1100" spans="1:16" x14ac:dyDescent="0.25">
      <c r="A1100"/>
      <c r="B1100"/>
      <c r="C1100"/>
      <c r="D1100"/>
      <c r="E1100"/>
      <c r="F1100"/>
      <c r="G1100"/>
      <c r="H1100"/>
      <c r="I1100"/>
      <c r="J1100"/>
      <c r="K1100"/>
      <c r="L1100" s="14"/>
      <c r="M1100"/>
      <c r="N1100"/>
      <c r="O1100"/>
      <c r="P1100"/>
    </row>
    <row r="1101" spans="1:16" x14ac:dyDescent="0.25">
      <c r="A1101"/>
      <c r="B1101"/>
      <c r="C1101"/>
      <c r="D1101"/>
      <c r="E1101"/>
      <c r="F1101"/>
      <c r="G1101"/>
      <c r="H1101"/>
      <c r="I1101"/>
      <c r="J1101"/>
      <c r="K1101"/>
      <c r="L1101" s="14"/>
      <c r="M1101"/>
      <c r="N1101"/>
      <c r="O1101"/>
      <c r="P1101"/>
    </row>
    <row r="1102" spans="1:16" x14ac:dyDescent="0.25">
      <c r="A1102"/>
      <c r="B1102"/>
      <c r="C1102"/>
      <c r="D1102"/>
      <c r="E1102"/>
      <c r="F1102"/>
      <c r="G1102"/>
      <c r="H1102"/>
      <c r="I1102"/>
      <c r="J1102"/>
      <c r="K1102"/>
      <c r="L1102" s="14"/>
      <c r="M1102"/>
      <c r="N1102"/>
      <c r="O1102"/>
      <c r="P1102"/>
    </row>
    <row r="1103" spans="1:16" x14ac:dyDescent="0.25">
      <c r="A1103"/>
      <c r="B1103"/>
      <c r="C1103"/>
      <c r="D1103"/>
      <c r="E1103"/>
      <c r="F1103"/>
      <c r="G1103"/>
      <c r="H1103"/>
      <c r="I1103"/>
      <c r="J1103"/>
      <c r="K1103"/>
      <c r="L1103" s="14"/>
      <c r="M1103"/>
      <c r="N1103"/>
      <c r="O1103"/>
      <c r="P1103"/>
    </row>
    <row r="1104" spans="1:16" x14ac:dyDescent="0.25">
      <c r="A1104"/>
      <c r="B1104"/>
      <c r="C1104"/>
      <c r="D1104"/>
      <c r="E1104"/>
      <c r="F1104"/>
      <c r="G1104"/>
      <c r="H1104"/>
      <c r="I1104"/>
      <c r="J1104"/>
      <c r="K1104"/>
      <c r="L1104" s="14"/>
      <c r="M1104"/>
      <c r="N1104"/>
      <c r="O1104"/>
      <c r="P1104"/>
    </row>
    <row r="1105" spans="1:16" x14ac:dyDescent="0.25">
      <c r="A1105"/>
      <c r="B1105"/>
      <c r="C1105"/>
      <c r="D1105"/>
      <c r="E1105"/>
      <c r="F1105"/>
      <c r="G1105"/>
      <c r="H1105"/>
      <c r="I1105"/>
      <c r="J1105"/>
      <c r="K1105"/>
      <c r="L1105" s="14"/>
      <c r="M1105"/>
      <c r="N1105"/>
      <c r="O1105"/>
      <c r="P1105"/>
    </row>
    <row r="1106" spans="1:16" x14ac:dyDescent="0.25">
      <c r="A1106"/>
      <c r="B1106"/>
      <c r="C1106"/>
      <c r="D1106"/>
      <c r="E1106"/>
      <c r="F1106"/>
      <c r="G1106"/>
      <c r="H1106"/>
      <c r="I1106"/>
      <c r="J1106"/>
      <c r="K1106"/>
      <c r="L1106" s="14"/>
      <c r="M1106"/>
      <c r="N1106"/>
      <c r="O1106"/>
      <c r="P1106"/>
    </row>
    <row r="1107" spans="1:16" x14ac:dyDescent="0.25">
      <c r="A1107"/>
      <c r="B1107"/>
      <c r="C1107"/>
      <c r="D1107"/>
      <c r="E1107"/>
      <c r="F1107"/>
      <c r="G1107"/>
      <c r="H1107"/>
      <c r="I1107"/>
      <c r="J1107"/>
      <c r="K1107"/>
      <c r="L1107" s="14"/>
      <c r="M1107"/>
      <c r="N1107"/>
      <c r="O1107"/>
      <c r="P1107"/>
    </row>
    <row r="1108" spans="1:16" x14ac:dyDescent="0.25">
      <c r="A1108"/>
      <c r="B1108"/>
      <c r="C1108"/>
      <c r="D1108"/>
      <c r="E1108"/>
      <c r="F1108"/>
      <c r="G1108"/>
      <c r="H1108"/>
      <c r="I1108"/>
      <c r="J1108"/>
      <c r="K1108"/>
      <c r="L1108" s="14"/>
      <c r="M1108"/>
      <c r="N1108"/>
      <c r="O1108"/>
      <c r="P1108"/>
    </row>
    <row r="1109" spans="1:16" x14ac:dyDescent="0.25">
      <c r="A1109"/>
      <c r="B1109"/>
      <c r="C1109"/>
      <c r="D1109"/>
      <c r="E1109"/>
      <c r="F1109"/>
      <c r="G1109"/>
      <c r="H1109"/>
      <c r="I1109"/>
      <c r="J1109"/>
      <c r="K1109"/>
      <c r="L1109" s="14"/>
      <c r="M1109"/>
      <c r="N1109"/>
      <c r="O1109"/>
      <c r="P1109"/>
    </row>
    <row r="1110" spans="1:16" x14ac:dyDescent="0.25">
      <c r="A1110"/>
      <c r="B1110"/>
      <c r="C1110"/>
      <c r="D1110"/>
      <c r="E1110"/>
      <c r="F1110"/>
      <c r="G1110"/>
      <c r="H1110"/>
      <c r="I1110"/>
      <c r="J1110"/>
      <c r="K1110"/>
      <c r="L1110" s="14"/>
      <c r="M1110"/>
      <c r="N1110"/>
      <c r="O1110"/>
      <c r="P1110"/>
    </row>
    <row r="1111" spans="1:16" x14ac:dyDescent="0.25">
      <c r="A1111"/>
      <c r="B1111"/>
      <c r="C1111"/>
      <c r="D1111"/>
      <c r="E1111"/>
      <c r="F1111"/>
      <c r="G1111"/>
      <c r="H1111"/>
      <c r="I1111"/>
      <c r="J1111"/>
      <c r="K1111"/>
      <c r="L1111" s="14"/>
      <c r="M1111"/>
      <c r="N1111"/>
      <c r="O1111"/>
      <c r="P1111"/>
    </row>
    <row r="1112" spans="1:16" x14ac:dyDescent="0.25">
      <c r="A1112"/>
      <c r="B1112"/>
      <c r="C1112"/>
      <c r="D1112"/>
      <c r="E1112"/>
      <c r="F1112"/>
      <c r="G1112"/>
      <c r="H1112"/>
      <c r="I1112"/>
      <c r="J1112"/>
      <c r="K1112"/>
      <c r="L1112" s="14"/>
      <c r="M1112"/>
      <c r="N1112"/>
      <c r="O1112"/>
      <c r="P1112"/>
    </row>
    <row r="1113" spans="1:16" x14ac:dyDescent="0.25">
      <c r="A1113"/>
      <c r="B1113"/>
      <c r="C1113"/>
      <c r="D1113"/>
      <c r="E1113"/>
      <c r="F1113"/>
      <c r="G1113"/>
      <c r="H1113"/>
      <c r="I1113"/>
      <c r="J1113"/>
      <c r="K1113"/>
      <c r="L1113" s="14"/>
      <c r="M1113"/>
      <c r="N1113"/>
      <c r="O1113"/>
      <c r="P1113"/>
    </row>
    <row r="1114" spans="1:16" x14ac:dyDescent="0.25">
      <c r="A1114"/>
      <c r="B1114"/>
      <c r="C1114"/>
      <c r="D1114"/>
      <c r="E1114"/>
      <c r="F1114"/>
      <c r="G1114"/>
      <c r="H1114"/>
      <c r="I1114"/>
      <c r="J1114"/>
      <c r="K1114"/>
      <c r="L1114" s="14"/>
      <c r="M1114"/>
      <c r="N1114"/>
      <c r="O1114"/>
      <c r="P1114"/>
    </row>
    <row r="1115" spans="1:16" x14ac:dyDescent="0.25">
      <c r="A1115"/>
      <c r="B1115"/>
      <c r="C1115"/>
      <c r="D1115"/>
      <c r="E1115"/>
      <c r="F1115"/>
      <c r="G1115"/>
      <c r="H1115"/>
      <c r="I1115"/>
      <c r="J1115"/>
      <c r="K1115"/>
      <c r="L1115" s="14"/>
      <c r="M1115"/>
      <c r="N1115"/>
      <c r="O1115"/>
      <c r="P1115"/>
    </row>
    <row r="1116" spans="1:16" x14ac:dyDescent="0.25">
      <c r="A1116"/>
      <c r="B1116"/>
      <c r="C1116"/>
      <c r="D1116"/>
      <c r="E1116"/>
      <c r="F1116"/>
      <c r="G1116"/>
      <c r="H1116"/>
      <c r="I1116"/>
      <c r="J1116"/>
      <c r="K1116"/>
      <c r="L1116" s="14"/>
      <c r="M1116"/>
      <c r="N1116"/>
      <c r="O1116"/>
      <c r="P1116"/>
    </row>
    <row r="1117" spans="1:16" x14ac:dyDescent="0.25">
      <c r="A1117"/>
      <c r="B1117"/>
      <c r="C1117"/>
      <c r="D1117"/>
      <c r="E1117"/>
      <c r="F1117"/>
      <c r="G1117"/>
      <c r="H1117"/>
      <c r="I1117"/>
      <c r="J1117"/>
      <c r="K1117"/>
      <c r="L1117" s="14"/>
      <c r="M1117"/>
      <c r="N1117"/>
      <c r="O1117"/>
      <c r="P1117"/>
    </row>
    <row r="1118" spans="1:16" x14ac:dyDescent="0.25">
      <c r="A1118"/>
      <c r="B1118"/>
      <c r="C1118"/>
      <c r="D1118"/>
      <c r="E1118"/>
      <c r="F1118"/>
      <c r="G1118"/>
      <c r="H1118"/>
      <c r="I1118"/>
      <c r="J1118"/>
      <c r="K1118"/>
      <c r="L1118" s="14"/>
      <c r="M1118"/>
      <c r="N1118"/>
      <c r="O1118"/>
      <c r="P1118"/>
    </row>
    <row r="1119" spans="1:16" x14ac:dyDescent="0.25">
      <c r="A1119"/>
      <c r="B1119"/>
      <c r="C1119"/>
      <c r="D1119"/>
      <c r="E1119"/>
      <c r="F1119"/>
      <c r="G1119"/>
      <c r="H1119"/>
      <c r="I1119"/>
      <c r="J1119"/>
      <c r="K1119"/>
      <c r="L1119" s="14"/>
      <c r="M1119"/>
      <c r="N1119"/>
      <c r="O1119"/>
      <c r="P1119"/>
    </row>
    <row r="1120" spans="1:16" x14ac:dyDescent="0.25">
      <c r="A1120"/>
      <c r="B1120"/>
      <c r="C1120"/>
      <c r="D1120"/>
      <c r="E1120"/>
      <c r="F1120"/>
      <c r="G1120"/>
      <c r="H1120"/>
      <c r="I1120"/>
      <c r="J1120"/>
      <c r="K1120"/>
      <c r="L1120" s="14"/>
      <c r="M1120"/>
      <c r="N1120"/>
      <c r="O1120"/>
      <c r="P1120"/>
    </row>
    <row r="1121" spans="1:16" x14ac:dyDescent="0.25">
      <c r="A1121"/>
      <c r="B1121"/>
      <c r="C1121"/>
      <c r="D1121"/>
      <c r="E1121"/>
      <c r="F1121"/>
      <c r="G1121"/>
      <c r="H1121"/>
      <c r="I1121"/>
      <c r="J1121"/>
      <c r="K1121"/>
      <c r="L1121" s="14"/>
      <c r="M1121"/>
      <c r="N1121"/>
      <c r="O1121"/>
      <c r="P1121"/>
    </row>
    <row r="1122" spans="1:16" x14ac:dyDescent="0.25">
      <c r="A1122"/>
      <c r="B1122"/>
      <c r="C1122"/>
      <c r="D1122"/>
      <c r="E1122"/>
      <c r="F1122"/>
      <c r="G1122"/>
      <c r="H1122"/>
      <c r="I1122"/>
      <c r="J1122"/>
      <c r="K1122"/>
      <c r="L1122" s="14"/>
      <c r="M1122"/>
      <c r="N1122"/>
      <c r="O1122"/>
      <c r="P1122"/>
    </row>
    <row r="1123" spans="1:16" x14ac:dyDescent="0.25">
      <c r="A1123"/>
      <c r="B1123"/>
      <c r="C1123"/>
      <c r="D1123"/>
      <c r="E1123"/>
      <c r="F1123"/>
      <c r="G1123"/>
      <c r="H1123"/>
      <c r="I1123"/>
      <c r="J1123"/>
      <c r="K1123"/>
      <c r="L1123" s="14"/>
      <c r="M1123"/>
      <c r="N1123"/>
      <c r="O1123"/>
      <c r="P1123"/>
    </row>
    <row r="1124" spans="1:16" x14ac:dyDescent="0.25">
      <c r="A1124"/>
      <c r="B1124"/>
      <c r="C1124"/>
      <c r="D1124"/>
      <c r="E1124"/>
      <c r="F1124"/>
      <c r="G1124"/>
      <c r="H1124"/>
      <c r="I1124"/>
      <c r="J1124"/>
      <c r="K1124"/>
      <c r="L1124" s="14"/>
      <c r="M1124"/>
      <c r="N1124"/>
      <c r="O1124"/>
      <c r="P1124"/>
    </row>
    <row r="1125" spans="1:16" x14ac:dyDescent="0.25">
      <c r="A1125"/>
      <c r="B1125"/>
      <c r="C1125"/>
      <c r="D1125"/>
      <c r="E1125"/>
      <c r="F1125"/>
      <c r="G1125"/>
      <c r="H1125"/>
      <c r="I1125"/>
      <c r="J1125"/>
      <c r="K1125"/>
      <c r="L1125" s="14"/>
      <c r="M1125"/>
      <c r="N1125"/>
      <c r="O1125"/>
      <c r="P1125"/>
    </row>
    <row r="1126" spans="1:16" x14ac:dyDescent="0.25">
      <c r="A1126"/>
      <c r="B1126"/>
      <c r="C1126"/>
      <c r="D1126"/>
      <c r="E1126"/>
      <c r="F1126"/>
      <c r="G1126"/>
      <c r="H1126"/>
      <c r="I1126"/>
      <c r="J1126"/>
      <c r="K1126"/>
      <c r="L1126" s="14"/>
      <c r="M1126"/>
      <c r="N1126"/>
      <c r="O1126"/>
      <c r="P1126"/>
    </row>
    <row r="1127" spans="1:16" x14ac:dyDescent="0.25">
      <c r="A1127"/>
      <c r="B1127"/>
      <c r="C1127"/>
      <c r="D1127"/>
      <c r="E1127"/>
      <c r="F1127"/>
      <c r="G1127"/>
      <c r="H1127"/>
      <c r="I1127"/>
      <c r="J1127"/>
      <c r="K1127"/>
      <c r="L1127" s="14"/>
      <c r="M1127"/>
      <c r="N1127"/>
      <c r="O1127"/>
      <c r="P1127"/>
    </row>
    <row r="1128" spans="1:16" x14ac:dyDescent="0.25">
      <c r="A1128"/>
      <c r="B1128"/>
      <c r="C1128"/>
      <c r="D1128"/>
      <c r="E1128"/>
      <c r="F1128"/>
      <c r="G1128"/>
      <c r="H1128"/>
      <c r="I1128"/>
      <c r="J1128"/>
      <c r="K1128"/>
      <c r="L1128" s="14"/>
      <c r="M1128"/>
      <c r="N1128"/>
      <c r="O1128"/>
      <c r="P1128"/>
    </row>
    <row r="1129" spans="1:16" x14ac:dyDescent="0.25">
      <c r="A1129"/>
      <c r="B1129"/>
      <c r="C1129"/>
      <c r="D1129"/>
      <c r="E1129"/>
      <c r="F1129"/>
      <c r="G1129"/>
      <c r="H1129"/>
      <c r="I1129"/>
      <c r="J1129"/>
      <c r="K1129"/>
      <c r="L1129" s="14"/>
      <c r="M1129"/>
      <c r="N1129"/>
      <c r="O1129"/>
      <c r="P1129"/>
    </row>
    <row r="1130" spans="1:16" x14ac:dyDescent="0.25">
      <c r="A1130"/>
      <c r="B1130"/>
      <c r="C1130"/>
      <c r="D1130"/>
      <c r="E1130"/>
      <c r="F1130"/>
      <c r="G1130"/>
      <c r="H1130"/>
      <c r="I1130"/>
      <c r="J1130"/>
      <c r="K1130"/>
      <c r="L1130" s="14"/>
      <c r="M1130"/>
      <c r="N1130"/>
      <c r="O1130"/>
      <c r="P1130"/>
    </row>
    <row r="1131" spans="1:16" x14ac:dyDescent="0.25">
      <c r="A1131"/>
      <c r="B1131"/>
      <c r="C1131"/>
      <c r="D1131"/>
      <c r="E1131"/>
      <c r="F1131"/>
      <c r="G1131"/>
      <c r="H1131"/>
      <c r="I1131"/>
      <c r="J1131"/>
      <c r="K1131"/>
      <c r="L1131" s="14"/>
      <c r="M1131"/>
      <c r="N1131"/>
      <c r="O1131"/>
      <c r="P1131"/>
    </row>
    <row r="1132" spans="1:16" x14ac:dyDescent="0.25">
      <c r="A1132"/>
      <c r="B1132"/>
      <c r="C1132"/>
      <c r="D1132"/>
      <c r="E1132"/>
      <c r="F1132"/>
      <c r="G1132"/>
      <c r="H1132"/>
      <c r="I1132"/>
      <c r="J1132"/>
      <c r="K1132"/>
      <c r="L1132" s="14"/>
      <c r="M1132"/>
      <c r="N1132"/>
      <c r="O1132"/>
      <c r="P1132"/>
    </row>
    <row r="1133" spans="1:16" x14ac:dyDescent="0.25">
      <c r="A1133"/>
      <c r="B1133"/>
      <c r="C1133"/>
      <c r="D1133"/>
      <c r="E1133"/>
      <c r="F1133"/>
      <c r="G1133"/>
      <c r="H1133"/>
      <c r="I1133"/>
      <c r="J1133"/>
      <c r="K1133"/>
      <c r="L1133" s="14"/>
      <c r="M1133"/>
      <c r="N1133"/>
      <c r="O1133"/>
      <c r="P1133"/>
    </row>
    <row r="1134" spans="1:16" x14ac:dyDescent="0.25">
      <c r="A1134"/>
      <c r="B1134"/>
      <c r="C1134"/>
      <c r="D1134"/>
      <c r="E1134"/>
      <c r="F1134"/>
      <c r="G1134"/>
      <c r="H1134"/>
      <c r="I1134"/>
      <c r="J1134"/>
      <c r="K1134"/>
      <c r="L1134" s="14"/>
      <c r="M1134"/>
      <c r="N1134"/>
      <c r="O1134"/>
      <c r="P1134"/>
    </row>
    <row r="1135" spans="1:16" x14ac:dyDescent="0.25">
      <c r="A1135"/>
      <c r="B1135"/>
      <c r="C1135"/>
      <c r="D1135"/>
      <c r="E1135"/>
      <c r="F1135"/>
      <c r="G1135"/>
      <c r="H1135"/>
      <c r="I1135"/>
      <c r="J1135"/>
      <c r="K1135"/>
      <c r="L1135" s="14"/>
      <c r="M1135"/>
      <c r="N1135"/>
      <c r="O1135"/>
      <c r="P1135"/>
    </row>
    <row r="1136" spans="1:16" x14ac:dyDescent="0.25">
      <c r="A1136"/>
      <c r="B1136"/>
      <c r="C1136"/>
      <c r="D1136"/>
      <c r="E1136"/>
      <c r="F1136"/>
      <c r="G1136"/>
      <c r="H1136"/>
      <c r="I1136"/>
      <c r="J1136"/>
      <c r="K1136"/>
      <c r="L1136" s="14"/>
      <c r="M1136"/>
      <c r="N1136"/>
      <c r="O1136"/>
      <c r="P1136"/>
    </row>
    <row r="1137" spans="1:16" x14ac:dyDescent="0.25">
      <c r="A1137"/>
      <c r="B1137"/>
      <c r="C1137"/>
      <c r="D1137"/>
      <c r="E1137"/>
      <c r="F1137"/>
      <c r="G1137"/>
      <c r="H1137"/>
      <c r="I1137"/>
      <c r="J1137"/>
      <c r="K1137"/>
      <c r="L1137" s="14"/>
      <c r="M1137"/>
      <c r="N1137"/>
      <c r="O1137"/>
      <c r="P1137"/>
    </row>
    <row r="1138" spans="1:16" x14ac:dyDescent="0.25">
      <c r="A1138"/>
      <c r="B1138"/>
      <c r="C1138"/>
      <c r="D1138"/>
      <c r="E1138"/>
      <c r="F1138"/>
      <c r="G1138"/>
      <c r="H1138"/>
      <c r="I1138"/>
      <c r="J1138"/>
      <c r="K1138"/>
      <c r="L1138" s="14"/>
      <c r="M1138"/>
      <c r="N1138"/>
      <c r="O1138"/>
      <c r="P1138"/>
    </row>
    <row r="1139" spans="1:16" x14ac:dyDescent="0.25">
      <c r="A1139"/>
      <c r="B1139"/>
      <c r="C1139"/>
      <c r="D1139"/>
      <c r="E1139"/>
      <c r="F1139"/>
      <c r="G1139"/>
      <c r="H1139"/>
      <c r="I1139"/>
      <c r="J1139"/>
      <c r="K1139"/>
      <c r="L1139" s="14"/>
      <c r="M1139"/>
      <c r="N1139"/>
      <c r="O1139"/>
      <c r="P1139"/>
    </row>
    <row r="1140" spans="1:16" x14ac:dyDescent="0.25">
      <c r="A1140"/>
      <c r="B1140"/>
      <c r="C1140"/>
      <c r="D1140"/>
      <c r="E1140"/>
      <c r="F1140"/>
      <c r="G1140"/>
      <c r="H1140"/>
      <c r="I1140"/>
      <c r="J1140"/>
      <c r="K1140"/>
      <c r="L1140" s="14"/>
      <c r="M1140"/>
      <c r="N1140"/>
      <c r="O1140"/>
      <c r="P1140"/>
    </row>
    <row r="1141" spans="1:16" x14ac:dyDescent="0.25">
      <c r="A1141"/>
      <c r="B1141"/>
      <c r="C1141"/>
      <c r="D1141"/>
      <c r="E1141"/>
      <c r="F1141"/>
      <c r="G1141"/>
      <c r="H1141"/>
      <c r="I1141"/>
      <c r="J1141"/>
      <c r="K1141"/>
      <c r="L1141" s="14"/>
      <c r="M1141"/>
      <c r="N1141"/>
      <c r="O1141"/>
      <c r="P1141"/>
    </row>
    <row r="1142" spans="1:16" x14ac:dyDescent="0.25">
      <c r="A1142"/>
      <c r="B1142"/>
      <c r="C1142"/>
      <c r="D1142"/>
      <c r="E1142"/>
      <c r="F1142"/>
      <c r="G1142"/>
      <c r="H1142"/>
      <c r="I1142"/>
      <c r="J1142"/>
      <c r="K1142"/>
      <c r="L1142" s="14"/>
      <c r="M1142"/>
      <c r="N1142"/>
      <c r="O1142"/>
      <c r="P1142"/>
    </row>
    <row r="1143" spans="1:16" x14ac:dyDescent="0.25">
      <c r="A1143"/>
      <c r="B1143"/>
      <c r="C1143"/>
      <c r="D1143"/>
      <c r="E1143"/>
      <c r="F1143"/>
      <c r="G1143"/>
      <c r="H1143"/>
      <c r="I1143"/>
      <c r="J1143"/>
      <c r="K1143"/>
      <c r="L1143" s="14"/>
      <c r="M1143"/>
      <c r="N1143"/>
      <c r="O1143"/>
      <c r="P1143"/>
    </row>
    <row r="1144" spans="1:16" x14ac:dyDescent="0.25">
      <c r="A1144"/>
      <c r="B1144"/>
      <c r="C1144"/>
      <c r="D1144"/>
      <c r="E1144"/>
      <c r="F1144"/>
      <c r="G1144"/>
      <c r="H1144"/>
      <c r="I1144"/>
      <c r="J1144"/>
      <c r="K1144"/>
      <c r="L1144" s="14"/>
      <c r="M1144"/>
      <c r="N1144"/>
      <c r="O1144"/>
      <c r="P1144"/>
    </row>
    <row r="1145" spans="1:16" x14ac:dyDescent="0.25">
      <c r="A1145"/>
      <c r="B1145"/>
      <c r="C1145"/>
      <c r="D1145"/>
      <c r="E1145"/>
      <c r="F1145"/>
      <c r="G1145"/>
      <c r="H1145"/>
      <c r="I1145"/>
      <c r="J1145"/>
      <c r="K1145"/>
      <c r="L1145" s="14"/>
      <c r="M1145"/>
      <c r="N1145"/>
      <c r="O1145"/>
      <c r="P1145"/>
    </row>
    <row r="1146" spans="1:16" x14ac:dyDescent="0.25">
      <c r="A1146"/>
      <c r="B1146"/>
      <c r="C1146"/>
      <c r="D1146"/>
      <c r="E1146"/>
      <c r="F1146"/>
      <c r="G1146"/>
      <c r="H1146"/>
      <c r="I1146"/>
      <c r="J1146"/>
      <c r="K1146"/>
      <c r="L1146" s="14"/>
      <c r="M1146"/>
      <c r="N1146"/>
      <c r="O1146"/>
      <c r="P1146"/>
    </row>
    <row r="1147" spans="1:16" x14ac:dyDescent="0.25">
      <c r="A1147"/>
      <c r="B1147"/>
      <c r="C1147"/>
      <c r="D1147"/>
      <c r="E1147"/>
      <c r="F1147"/>
      <c r="G1147"/>
      <c r="H1147"/>
      <c r="I1147"/>
      <c r="J1147"/>
      <c r="K1147"/>
      <c r="L1147" s="14"/>
      <c r="M1147"/>
      <c r="N1147"/>
      <c r="O1147"/>
      <c r="P1147"/>
    </row>
    <row r="1148" spans="1:16" x14ac:dyDescent="0.25">
      <c r="A1148"/>
      <c r="B1148"/>
      <c r="C1148"/>
      <c r="D1148"/>
      <c r="E1148"/>
      <c r="F1148"/>
      <c r="G1148"/>
      <c r="H1148"/>
      <c r="I1148"/>
      <c r="J1148"/>
      <c r="K1148"/>
      <c r="L1148" s="14"/>
      <c r="M1148"/>
      <c r="N1148"/>
      <c r="O1148"/>
      <c r="P1148"/>
    </row>
    <row r="1149" spans="1:16" x14ac:dyDescent="0.25">
      <c r="A1149"/>
      <c r="B1149"/>
      <c r="C1149"/>
      <c r="D1149"/>
      <c r="E1149"/>
      <c r="F1149"/>
      <c r="G1149"/>
      <c r="H1149"/>
      <c r="I1149"/>
      <c r="J1149"/>
      <c r="K1149"/>
      <c r="L1149" s="14"/>
      <c r="M1149"/>
      <c r="N1149"/>
      <c r="O1149"/>
      <c r="P1149"/>
    </row>
    <row r="1150" spans="1:16" x14ac:dyDescent="0.25">
      <c r="A1150"/>
      <c r="B1150"/>
      <c r="C1150"/>
      <c r="D1150"/>
      <c r="E1150"/>
      <c r="F1150"/>
      <c r="G1150"/>
      <c r="H1150"/>
      <c r="I1150"/>
      <c r="J1150"/>
      <c r="K1150"/>
      <c r="L1150" s="14"/>
      <c r="M1150"/>
      <c r="N1150"/>
      <c r="O1150"/>
      <c r="P1150"/>
    </row>
    <row r="1151" spans="1:16" x14ac:dyDescent="0.25">
      <c r="A1151"/>
      <c r="B1151"/>
      <c r="C1151"/>
      <c r="D1151"/>
      <c r="E1151"/>
      <c r="F1151"/>
      <c r="G1151"/>
      <c r="H1151"/>
      <c r="I1151"/>
      <c r="J1151"/>
      <c r="K1151"/>
      <c r="L1151" s="14"/>
      <c r="M1151"/>
      <c r="N1151"/>
      <c r="O1151"/>
      <c r="P1151"/>
    </row>
    <row r="1152" spans="1:16" x14ac:dyDescent="0.25">
      <c r="A1152"/>
      <c r="B1152"/>
      <c r="C1152"/>
      <c r="D1152"/>
      <c r="E1152"/>
      <c r="F1152"/>
      <c r="G1152"/>
      <c r="H1152"/>
      <c r="I1152"/>
      <c r="J1152"/>
      <c r="K1152"/>
      <c r="L1152" s="14"/>
      <c r="M1152"/>
      <c r="N1152"/>
      <c r="O1152"/>
      <c r="P1152"/>
    </row>
    <row r="1153" spans="1:16" x14ac:dyDescent="0.25">
      <c r="A1153"/>
      <c r="B1153"/>
      <c r="C1153"/>
      <c r="D1153"/>
      <c r="E1153"/>
      <c r="F1153"/>
      <c r="G1153"/>
      <c r="H1153"/>
      <c r="I1153"/>
      <c r="J1153"/>
      <c r="K1153"/>
      <c r="L1153" s="14"/>
      <c r="M1153"/>
      <c r="N1153"/>
      <c r="O1153"/>
      <c r="P1153"/>
    </row>
    <row r="1154" spans="1:16" x14ac:dyDescent="0.25">
      <c r="A1154"/>
      <c r="B1154"/>
      <c r="C1154"/>
      <c r="D1154"/>
      <c r="E1154"/>
      <c r="F1154"/>
      <c r="G1154"/>
      <c r="H1154"/>
      <c r="I1154"/>
      <c r="J1154"/>
      <c r="K1154"/>
      <c r="L1154" s="14"/>
      <c r="M1154"/>
      <c r="N1154"/>
      <c r="O1154"/>
      <c r="P1154"/>
    </row>
    <row r="1155" spans="1:16" x14ac:dyDescent="0.25">
      <c r="A1155"/>
      <c r="B1155"/>
      <c r="C1155"/>
      <c r="D1155"/>
      <c r="E1155"/>
      <c r="F1155"/>
      <c r="G1155"/>
      <c r="H1155"/>
      <c r="I1155"/>
      <c r="J1155"/>
      <c r="K1155"/>
      <c r="L1155" s="14"/>
      <c r="M1155"/>
      <c r="N1155"/>
      <c r="O1155"/>
      <c r="P1155"/>
    </row>
    <row r="1156" spans="1:16" x14ac:dyDescent="0.25">
      <c r="A1156"/>
      <c r="B1156"/>
      <c r="C1156"/>
      <c r="D1156"/>
      <c r="E1156"/>
      <c r="F1156"/>
      <c r="G1156"/>
      <c r="H1156"/>
      <c r="I1156"/>
      <c r="J1156"/>
      <c r="K1156"/>
      <c r="L1156" s="14"/>
      <c r="M1156"/>
      <c r="N1156"/>
      <c r="O1156"/>
      <c r="P1156"/>
    </row>
    <row r="1157" spans="1:16" x14ac:dyDescent="0.25">
      <c r="A1157"/>
      <c r="B1157"/>
      <c r="C1157"/>
      <c r="D1157"/>
      <c r="E1157"/>
      <c r="F1157"/>
      <c r="G1157"/>
      <c r="H1157"/>
      <c r="I1157"/>
      <c r="J1157"/>
      <c r="K1157"/>
      <c r="L1157" s="14"/>
      <c r="M1157"/>
      <c r="N1157"/>
      <c r="O1157"/>
      <c r="P1157"/>
    </row>
    <row r="1158" spans="1:16" x14ac:dyDescent="0.25">
      <c r="A1158"/>
      <c r="B1158"/>
      <c r="C1158"/>
      <c r="D1158"/>
      <c r="E1158"/>
      <c r="F1158"/>
      <c r="G1158"/>
      <c r="H1158"/>
      <c r="I1158"/>
      <c r="J1158"/>
      <c r="K1158"/>
      <c r="L1158" s="14"/>
      <c r="M1158"/>
      <c r="N1158"/>
      <c r="O1158"/>
      <c r="P1158"/>
    </row>
    <row r="1159" spans="1:16" x14ac:dyDescent="0.25">
      <c r="A1159"/>
      <c r="B1159"/>
      <c r="C1159"/>
      <c r="D1159"/>
      <c r="E1159"/>
      <c r="F1159"/>
      <c r="G1159"/>
      <c r="H1159"/>
      <c r="I1159"/>
      <c r="J1159"/>
      <c r="K1159"/>
      <c r="L1159" s="14"/>
      <c r="M1159"/>
      <c r="N1159"/>
      <c r="O1159"/>
      <c r="P1159"/>
    </row>
    <row r="1160" spans="1:16" x14ac:dyDescent="0.25">
      <c r="A1160"/>
      <c r="B1160"/>
      <c r="C1160"/>
      <c r="D1160"/>
      <c r="E1160"/>
      <c r="F1160"/>
      <c r="G1160"/>
      <c r="H1160"/>
      <c r="I1160"/>
      <c r="J1160"/>
      <c r="K1160"/>
      <c r="L1160" s="14"/>
      <c r="M1160"/>
      <c r="N1160"/>
      <c r="O1160"/>
      <c r="P1160"/>
    </row>
    <row r="1161" spans="1:16" x14ac:dyDescent="0.25">
      <c r="A1161"/>
      <c r="B1161"/>
      <c r="C1161"/>
      <c r="D1161"/>
      <c r="E1161"/>
      <c r="F1161"/>
      <c r="G1161"/>
      <c r="H1161"/>
      <c r="I1161"/>
      <c r="J1161"/>
      <c r="K1161"/>
      <c r="L1161" s="14"/>
      <c r="M1161"/>
      <c r="N1161"/>
      <c r="O1161"/>
      <c r="P1161"/>
    </row>
    <row r="1162" spans="1:16" x14ac:dyDescent="0.25">
      <c r="A1162"/>
      <c r="B1162"/>
      <c r="C1162"/>
      <c r="D1162"/>
      <c r="E1162"/>
      <c r="F1162"/>
      <c r="G1162"/>
      <c r="H1162"/>
      <c r="I1162"/>
      <c r="J1162"/>
      <c r="K1162"/>
      <c r="L1162" s="14"/>
      <c r="M1162"/>
      <c r="N1162"/>
      <c r="O1162"/>
      <c r="P1162"/>
    </row>
    <row r="1163" spans="1:16" x14ac:dyDescent="0.25">
      <c r="A1163"/>
      <c r="B1163"/>
      <c r="C1163"/>
      <c r="D1163"/>
      <c r="E1163"/>
      <c r="F1163"/>
      <c r="G1163"/>
      <c r="H1163"/>
      <c r="I1163"/>
      <c r="J1163"/>
      <c r="K1163"/>
      <c r="L1163" s="14"/>
      <c r="M1163"/>
      <c r="N1163"/>
      <c r="O1163"/>
      <c r="P1163"/>
    </row>
    <row r="1164" spans="1:16" x14ac:dyDescent="0.25">
      <c r="A1164"/>
      <c r="B1164"/>
      <c r="C1164"/>
      <c r="D1164"/>
      <c r="E1164"/>
      <c r="F1164"/>
      <c r="G1164"/>
      <c r="H1164"/>
      <c r="I1164"/>
      <c r="J1164"/>
      <c r="K1164"/>
      <c r="L1164" s="14"/>
      <c r="M1164"/>
      <c r="N1164"/>
      <c r="O1164"/>
      <c r="P1164"/>
    </row>
    <row r="1165" spans="1:16" x14ac:dyDescent="0.25">
      <c r="A1165"/>
      <c r="B1165"/>
      <c r="C1165"/>
      <c r="D1165"/>
      <c r="E1165"/>
      <c r="F1165"/>
      <c r="G1165"/>
      <c r="H1165"/>
      <c r="I1165"/>
      <c r="J1165"/>
      <c r="K1165"/>
      <c r="L1165" s="14"/>
      <c r="M1165"/>
      <c r="N1165"/>
      <c r="O1165"/>
      <c r="P1165"/>
    </row>
    <row r="1166" spans="1:16" x14ac:dyDescent="0.25">
      <c r="A1166"/>
      <c r="B1166"/>
      <c r="C1166"/>
      <c r="D1166"/>
      <c r="E1166"/>
      <c r="F1166"/>
      <c r="G1166"/>
      <c r="H1166"/>
      <c r="I1166"/>
      <c r="J1166"/>
      <c r="K1166"/>
      <c r="L1166" s="14"/>
      <c r="M1166"/>
      <c r="N1166"/>
      <c r="O1166"/>
      <c r="P1166"/>
    </row>
    <row r="1167" spans="1:16" x14ac:dyDescent="0.25">
      <c r="A1167"/>
      <c r="B1167"/>
      <c r="C1167"/>
      <c r="D1167"/>
      <c r="E1167"/>
      <c r="F1167"/>
      <c r="G1167"/>
      <c r="H1167"/>
      <c r="I1167"/>
      <c r="J1167"/>
      <c r="K1167"/>
      <c r="L1167" s="14"/>
      <c r="M1167"/>
      <c r="N1167"/>
      <c r="O1167"/>
      <c r="P1167"/>
    </row>
    <row r="1168" spans="1:16" x14ac:dyDescent="0.25">
      <c r="A1168"/>
      <c r="B1168"/>
      <c r="C1168"/>
      <c r="D1168"/>
      <c r="E1168"/>
      <c r="F1168"/>
      <c r="G1168"/>
      <c r="H1168"/>
      <c r="I1168"/>
      <c r="J1168"/>
      <c r="K1168"/>
      <c r="L1168" s="14"/>
      <c r="M1168"/>
      <c r="N1168"/>
      <c r="O1168"/>
      <c r="P1168"/>
    </row>
    <row r="1169" spans="1:16" x14ac:dyDescent="0.25">
      <c r="A1169"/>
      <c r="B1169"/>
      <c r="C1169"/>
      <c r="D1169"/>
      <c r="E1169"/>
      <c r="F1169"/>
      <c r="G1169"/>
      <c r="H1169"/>
      <c r="I1169"/>
      <c r="J1169"/>
      <c r="K1169"/>
      <c r="L1169" s="14"/>
      <c r="M1169"/>
      <c r="N1169"/>
      <c r="O1169"/>
      <c r="P1169"/>
    </row>
    <row r="1170" spans="1:16" x14ac:dyDescent="0.25">
      <c r="A1170"/>
      <c r="B1170"/>
      <c r="C1170"/>
      <c r="D1170"/>
      <c r="E1170"/>
      <c r="F1170"/>
      <c r="G1170"/>
      <c r="H1170"/>
      <c r="I1170"/>
      <c r="J1170"/>
      <c r="K1170"/>
      <c r="L1170" s="14"/>
      <c r="M1170"/>
      <c r="N1170"/>
      <c r="O1170"/>
      <c r="P1170"/>
    </row>
    <row r="1171" spans="1:16" x14ac:dyDescent="0.25">
      <c r="A1171"/>
      <c r="B1171"/>
      <c r="C1171"/>
      <c r="D1171"/>
      <c r="E1171"/>
      <c r="F1171"/>
      <c r="G1171"/>
      <c r="H1171"/>
      <c r="I1171"/>
      <c r="J1171"/>
      <c r="K1171"/>
      <c r="L1171" s="14"/>
      <c r="M1171"/>
      <c r="N1171"/>
      <c r="O1171"/>
      <c r="P1171"/>
    </row>
    <row r="1172" spans="1:16" x14ac:dyDescent="0.25">
      <c r="A1172"/>
      <c r="B1172"/>
      <c r="C1172"/>
      <c r="D1172"/>
      <c r="E1172"/>
      <c r="F1172"/>
      <c r="G1172"/>
      <c r="H1172"/>
      <c r="I1172"/>
      <c r="J1172"/>
      <c r="K1172"/>
      <c r="L1172" s="14"/>
      <c r="M1172"/>
      <c r="N1172"/>
      <c r="O1172"/>
      <c r="P1172"/>
    </row>
    <row r="1173" spans="1:16" x14ac:dyDescent="0.25">
      <c r="A1173"/>
      <c r="B1173"/>
      <c r="C1173"/>
      <c r="D1173"/>
      <c r="E1173"/>
      <c r="F1173"/>
      <c r="G1173"/>
      <c r="H1173"/>
      <c r="I1173"/>
      <c r="J1173"/>
      <c r="K1173"/>
      <c r="L1173" s="14"/>
      <c r="M1173"/>
      <c r="N1173"/>
      <c r="O1173"/>
      <c r="P1173"/>
    </row>
    <row r="1174" spans="1:16" x14ac:dyDescent="0.25">
      <c r="A1174"/>
      <c r="B1174"/>
      <c r="C1174"/>
      <c r="D1174"/>
      <c r="E1174"/>
      <c r="F1174"/>
      <c r="G1174"/>
      <c r="H1174"/>
      <c r="I1174"/>
      <c r="J1174"/>
      <c r="K1174"/>
      <c r="L1174" s="14"/>
      <c r="M1174"/>
      <c r="N1174"/>
      <c r="O1174"/>
      <c r="P1174"/>
    </row>
    <row r="1175" spans="1:16" x14ac:dyDescent="0.25">
      <c r="A1175"/>
      <c r="B1175"/>
      <c r="C1175"/>
      <c r="D1175"/>
      <c r="E1175"/>
      <c r="F1175"/>
      <c r="G1175"/>
      <c r="H1175"/>
      <c r="I1175"/>
      <c r="J1175"/>
      <c r="K1175"/>
      <c r="L1175" s="14"/>
      <c r="M1175"/>
      <c r="N1175"/>
      <c r="O1175"/>
      <c r="P1175"/>
    </row>
    <row r="1176" spans="1:16" x14ac:dyDescent="0.25">
      <c r="A1176"/>
      <c r="B1176"/>
      <c r="C1176"/>
      <c r="D1176"/>
      <c r="E1176"/>
      <c r="F1176"/>
      <c r="G1176"/>
      <c r="H1176"/>
      <c r="I1176"/>
      <c r="J1176"/>
      <c r="K1176"/>
      <c r="L1176" s="14"/>
      <c r="M1176"/>
      <c r="N1176"/>
      <c r="O1176"/>
      <c r="P1176"/>
    </row>
    <row r="1177" spans="1:16" x14ac:dyDescent="0.25">
      <c r="A1177"/>
      <c r="B1177"/>
      <c r="C1177"/>
      <c r="D1177"/>
      <c r="E1177"/>
      <c r="F1177"/>
      <c r="G1177"/>
      <c r="H1177"/>
      <c r="I1177"/>
      <c r="J1177"/>
      <c r="K1177"/>
      <c r="L1177" s="14"/>
      <c r="M1177"/>
      <c r="N1177"/>
      <c r="O1177"/>
      <c r="P1177"/>
    </row>
    <row r="1178" spans="1:16" x14ac:dyDescent="0.25">
      <c r="A1178"/>
      <c r="B1178"/>
      <c r="C1178"/>
      <c r="D1178"/>
      <c r="E1178"/>
      <c r="F1178"/>
      <c r="G1178"/>
      <c r="H1178"/>
      <c r="I1178"/>
      <c r="J1178"/>
      <c r="K1178"/>
      <c r="L1178" s="14"/>
      <c r="M1178"/>
      <c r="N1178"/>
      <c r="O1178"/>
      <c r="P1178"/>
    </row>
    <row r="1179" spans="1:16" x14ac:dyDescent="0.25">
      <c r="A1179"/>
      <c r="B1179"/>
      <c r="C1179"/>
      <c r="D1179"/>
      <c r="E1179"/>
      <c r="F1179"/>
      <c r="G1179"/>
      <c r="H1179"/>
      <c r="I1179"/>
      <c r="J1179"/>
      <c r="K1179"/>
      <c r="L1179" s="14"/>
      <c r="M1179"/>
      <c r="N1179"/>
      <c r="O1179"/>
      <c r="P1179"/>
    </row>
    <row r="1180" spans="1:16" x14ac:dyDescent="0.25">
      <c r="A1180"/>
      <c r="B1180"/>
      <c r="C1180"/>
      <c r="D1180"/>
      <c r="E1180"/>
      <c r="F1180"/>
      <c r="G1180"/>
      <c r="H1180"/>
      <c r="I1180"/>
      <c r="J1180"/>
      <c r="K1180"/>
      <c r="L1180" s="14"/>
      <c r="M1180"/>
      <c r="N1180"/>
      <c r="O1180"/>
      <c r="P1180"/>
    </row>
    <row r="1181" spans="1:16" x14ac:dyDescent="0.25">
      <c r="A1181"/>
      <c r="B1181"/>
      <c r="C1181"/>
      <c r="D1181"/>
      <c r="E1181"/>
      <c r="F1181"/>
      <c r="G1181"/>
      <c r="H1181"/>
      <c r="I1181"/>
      <c r="J1181"/>
      <c r="K1181"/>
      <c r="L1181" s="14"/>
      <c r="M1181"/>
      <c r="N1181"/>
      <c r="O1181"/>
      <c r="P1181"/>
    </row>
    <row r="1182" spans="1:16" x14ac:dyDescent="0.25">
      <c r="A1182"/>
      <c r="B1182"/>
      <c r="C1182"/>
      <c r="D1182"/>
      <c r="E1182"/>
      <c r="F1182"/>
      <c r="G1182"/>
      <c r="H1182"/>
      <c r="I1182"/>
      <c r="J1182"/>
      <c r="K1182"/>
      <c r="L1182" s="14"/>
      <c r="M1182"/>
      <c r="N1182"/>
      <c r="O1182"/>
      <c r="P1182"/>
    </row>
    <row r="1183" spans="1:16" x14ac:dyDescent="0.25">
      <c r="A1183"/>
      <c r="B1183"/>
      <c r="C1183"/>
      <c r="D1183"/>
      <c r="E1183"/>
      <c r="F1183"/>
      <c r="G1183"/>
      <c r="H1183"/>
      <c r="I1183"/>
      <c r="J1183"/>
      <c r="K1183"/>
      <c r="L1183" s="14"/>
      <c r="M1183"/>
      <c r="N1183"/>
      <c r="O1183"/>
      <c r="P1183"/>
    </row>
    <row r="1184" spans="1:16" x14ac:dyDescent="0.25">
      <c r="A1184"/>
      <c r="B1184"/>
      <c r="C1184"/>
      <c r="D1184"/>
      <c r="E1184"/>
      <c r="F1184"/>
      <c r="G1184"/>
      <c r="H1184"/>
      <c r="I1184"/>
      <c r="J1184"/>
      <c r="K1184"/>
      <c r="L1184" s="14"/>
      <c r="M1184"/>
      <c r="N1184"/>
      <c r="O1184"/>
      <c r="P1184"/>
    </row>
    <row r="1185" spans="1:16" x14ac:dyDescent="0.25">
      <c r="A1185"/>
      <c r="B1185"/>
      <c r="C1185"/>
      <c r="D1185"/>
      <c r="E1185"/>
      <c r="F1185"/>
      <c r="G1185"/>
      <c r="H1185"/>
      <c r="I1185"/>
      <c r="J1185"/>
      <c r="K1185"/>
      <c r="L1185" s="14"/>
      <c r="M1185"/>
      <c r="N1185"/>
      <c r="O1185"/>
      <c r="P1185"/>
    </row>
    <row r="1186" spans="1:16" x14ac:dyDescent="0.25">
      <c r="A1186"/>
      <c r="B1186"/>
      <c r="C1186"/>
      <c r="D1186"/>
      <c r="E1186"/>
      <c r="F1186"/>
      <c r="G1186"/>
      <c r="H1186"/>
      <c r="I1186"/>
      <c r="J1186"/>
      <c r="K1186"/>
      <c r="L1186" s="14"/>
      <c r="M1186"/>
      <c r="N1186"/>
      <c r="O1186"/>
      <c r="P1186"/>
    </row>
    <row r="1187" spans="1:16" x14ac:dyDescent="0.25">
      <c r="A1187"/>
      <c r="B1187"/>
      <c r="C1187"/>
      <c r="D1187"/>
      <c r="E1187"/>
      <c r="F1187"/>
      <c r="G1187"/>
      <c r="H1187"/>
      <c r="I1187"/>
      <c r="J1187"/>
      <c r="K1187"/>
      <c r="L1187" s="14"/>
      <c r="M1187"/>
      <c r="N1187"/>
      <c r="O1187"/>
      <c r="P1187"/>
    </row>
    <row r="1188" spans="1:16" x14ac:dyDescent="0.25">
      <c r="A1188"/>
      <c r="B1188"/>
      <c r="C1188"/>
      <c r="D1188"/>
      <c r="E1188"/>
      <c r="F1188"/>
      <c r="G1188"/>
      <c r="H1188"/>
      <c r="I1188"/>
      <c r="J1188"/>
      <c r="K1188"/>
      <c r="L1188" s="14"/>
      <c r="M1188"/>
      <c r="N1188"/>
      <c r="O1188"/>
      <c r="P1188"/>
    </row>
    <row r="1189" spans="1:16" x14ac:dyDescent="0.25">
      <c r="A1189"/>
      <c r="B1189"/>
      <c r="C1189"/>
      <c r="D1189"/>
      <c r="E1189"/>
      <c r="F1189"/>
      <c r="G1189"/>
      <c r="H1189"/>
      <c r="I1189"/>
      <c r="J1189"/>
      <c r="K1189"/>
      <c r="L1189" s="14"/>
      <c r="M1189"/>
      <c r="N1189"/>
      <c r="O1189"/>
      <c r="P1189"/>
    </row>
    <row r="1190" spans="1:16" x14ac:dyDescent="0.25">
      <c r="A1190"/>
      <c r="B1190"/>
      <c r="C1190"/>
      <c r="D1190"/>
      <c r="E1190"/>
      <c r="F1190"/>
      <c r="G1190"/>
      <c r="H1190"/>
      <c r="I1190"/>
      <c r="J1190"/>
      <c r="K1190"/>
      <c r="L1190" s="14"/>
      <c r="M1190"/>
      <c r="N1190"/>
      <c r="O1190"/>
      <c r="P1190"/>
    </row>
    <row r="1191" spans="1:16" x14ac:dyDescent="0.25">
      <c r="A1191"/>
      <c r="B1191"/>
      <c r="C1191"/>
      <c r="D1191"/>
      <c r="E1191"/>
      <c r="F1191"/>
      <c r="G1191"/>
      <c r="H1191"/>
      <c r="I1191"/>
      <c r="J1191"/>
      <c r="K1191"/>
      <c r="L1191" s="14"/>
      <c r="M1191"/>
      <c r="N1191"/>
      <c r="O1191"/>
      <c r="P1191"/>
    </row>
    <row r="1192" spans="1:16" x14ac:dyDescent="0.25">
      <c r="A1192"/>
      <c r="B1192"/>
      <c r="C1192"/>
      <c r="D1192"/>
      <c r="E1192"/>
      <c r="F1192"/>
      <c r="G1192"/>
      <c r="H1192"/>
      <c r="I1192"/>
      <c r="J1192"/>
      <c r="K1192"/>
      <c r="L1192" s="14"/>
      <c r="M1192"/>
      <c r="N1192"/>
      <c r="O1192"/>
      <c r="P1192"/>
    </row>
    <row r="1193" spans="1:16" x14ac:dyDescent="0.25">
      <c r="A1193"/>
      <c r="B1193"/>
      <c r="C1193"/>
      <c r="D1193"/>
      <c r="E1193"/>
      <c r="F1193"/>
      <c r="G1193"/>
      <c r="H1193"/>
      <c r="I1193"/>
      <c r="J1193"/>
      <c r="K1193"/>
      <c r="L1193" s="14"/>
      <c r="M1193"/>
      <c r="N1193"/>
      <c r="O1193"/>
      <c r="P1193"/>
    </row>
    <row r="1194" spans="1:16" x14ac:dyDescent="0.25">
      <c r="A1194"/>
      <c r="B1194"/>
      <c r="C1194"/>
      <c r="D1194"/>
      <c r="E1194"/>
      <c r="F1194"/>
      <c r="G1194"/>
      <c r="H1194"/>
      <c r="I1194"/>
      <c r="J1194"/>
      <c r="K1194"/>
      <c r="L1194" s="14"/>
      <c r="M1194"/>
      <c r="N1194"/>
      <c r="O1194"/>
      <c r="P1194"/>
    </row>
    <row r="1195" spans="1:16" x14ac:dyDescent="0.25">
      <c r="A1195"/>
      <c r="B1195"/>
      <c r="C1195"/>
      <c r="D1195"/>
      <c r="E1195"/>
      <c r="F1195"/>
      <c r="G1195"/>
      <c r="H1195"/>
      <c r="I1195"/>
      <c r="J1195"/>
      <c r="K1195"/>
      <c r="L1195" s="14"/>
      <c r="M1195"/>
      <c r="N1195"/>
      <c r="O1195"/>
      <c r="P1195"/>
    </row>
    <row r="1196" spans="1:16" x14ac:dyDescent="0.25">
      <c r="A1196"/>
      <c r="B1196"/>
      <c r="C1196"/>
      <c r="D1196"/>
      <c r="E1196"/>
      <c r="F1196"/>
      <c r="G1196"/>
      <c r="H1196"/>
      <c r="I1196"/>
      <c r="J1196"/>
      <c r="K1196"/>
      <c r="L1196" s="14"/>
      <c r="M1196"/>
      <c r="N1196"/>
      <c r="O1196"/>
      <c r="P1196"/>
    </row>
    <row r="1197" spans="1:16" x14ac:dyDescent="0.25">
      <c r="A1197"/>
      <c r="B1197"/>
      <c r="C1197"/>
      <c r="D1197"/>
      <c r="E1197"/>
      <c r="F1197"/>
      <c r="G1197"/>
      <c r="H1197"/>
      <c r="I1197"/>
      <c r="J1197"/>
      <c r="K1197"/>
      <c r="L1197" s="14"/>
      <c r="M1197"/>
      <c r="N1197"/>
      <c r="O1197"/>
      <c r="P1197"/>
    </row>
    <row r="1198" spans="1:16" x14ac:dyDescent="0.25">
      <c r="A1198"/>
      <c r="B1198"/>
      <c r="C1198"/>
      <c r="D1198"/>
      <c r="E1198"/>
      <c r="F1198"/>
      <c r="G1198"/>
      <c r="H1198"/>
      <c r="I1198"/>
      <c r="J1198"/>
      <c r="K1198"/>
      <c r="L1198" s="14"/>
      <c r="M1198"/>
      <c r="N1198"/>
      <c r="O1198"/>
      <c r="P1198"/>
    </row>
    <row r="1199" spans="1:16" x14ac:dyDescent="0.25">
      <c r="A1199"/>
      <c r="B1199"/>
      <c r="C1199"/>
      <c r="D1199"/>
      <c r="E1199"/>
      <c r="F1199"/>
      <c r="G1199"/>
      <c r="H1199"/>
      <c r="I1199"/>
      <c r="J1199"/>
      <c r="K1199"/>
      <c r="L1199" s="14"/>
      <c r="M1199"/>
      <c r="N1199"/>
      <c r="O1199"/>
      <c r="P1199"/>
    </row>
    <row r="1200" spans="1:16" x14ac:dyDescent="0.25">
      <c r="A1200"/>
      <c r="B1200"/>
      <c r="C1200"/>
      <c r="D1200"/>
      <c r="E1200"/>
      <c r="F1200"/>
      <c r="G1200"/>
      <c r="H1200"/>
      <c r="I1200"/>
      <c r="J1200"/>
      <c r="K1200"/>
      <c r="L1200" s="14"/>
      <c r="M1200"/>
      <c r="N1200"/>
      <c r="O1200"/>
      <c r="P1200"/>
    </row>
    <row r="1201" spans="1:16" x14ac:dyDescent="0.25">
      <c r="A1201"/>
      <c r="B1201"/>
      <c r="C1201"/>
      <c r="D1201"/>
      <c r="E1201"/>
      <c r="F1201"/>
      <c r="G1201"/>
      <c r="H1201"/>
      <c r="I1201"/>
      <c r="J1201"/>
      <c r="K1201"/>
      <c r="L1201" s="14"/>
      <c r="M1201"/>
      <c r="N1201"/>
      <c r="O1201"/>
      <c r="P1201"/>
    </row>
    <row r="1202" spans="1:16" x14ac:dyDescent="0.25">
      <c r="A1202"/>
      <c r="B1202"/>
      <c r="C1202"/>
      <c r="D1202"/>
      <c r="E1202"/>
      <c r="F1202"/>
      <c r="G1202"/>
      <c r="H1202"/>
      <c r="I1202"/>
      <c r="J1202"/>
      <c r="K1202"/>
      <c r="L1202" s="14"/>
      <c r="M1202"/>
      <c r="N1202"/>
      <c r="O1202"/>
      <c r="P1202"/>
    </row>
    <row r="1203" spans="1:16" x14ac:dyDescent="0.25">
      <c r="A1203"/>
      <c r="B1203"/>
      <c r="C1203"/>
      <c r="D1203"/>
      <c r="E1203"/>
      <c r="F1203"/>
      <c r="G1203"/>
      <c r="H1203"/>
      <c r="I1203"/>
      <c r="J1203"/>
      <c r="K1203"/>
      <c r="L1203" s="14"/>
      <c r="M1203"/>
      <c r="N1203"/>
      <c r="O1203"/>
      <c r="P1203"/>
    </row>
    <row r="1204" spans="1:16" x14ac:dyDescent="0.25">
      <c r="A1204"/>
      <c r="B1204"/>
      <c r="C1204"/>
      <c r="D1204"/>
      <c r="E1204"/>
      <c r="F1204"/>
      <c r="G1204"/>
      <c r="H1204"/>
      <c r="I1204"/>
      <c r="J1204"/>
      <c r="K1204"/>
      <c r="L1204" s="14"/>
      <c r="M1204"/>
      <c r="N1204"/>
      <c r="O1204"/>
      <c r="P1204"/>
    </row>
    <row r="1205" spans="1:16" x14ac:dyDescent="0.25">
      <c r="A1205"/>
      <c r="B1205"/>
      <c r="C1205"/>
      <c r="D1205"/>
      <c r="E1205"/>
      <c r="F1205"/>
      <c r="G1205"/>
      <c r="H1205"/>
      <c r="I1205"/>
      <c r="J1205"/>
      <c r="K1205"/>
      <c r="L1205" s="14"/>
      <c r="M1205"/>
      <c r="N1205"/>
      <c r="O1205"/>
      <c r="P1205"/>
    </row>
    <row r="1206" spans="1:16" x14ac:dyDescent="0.25">
      <c r="A1206"/>
      <c r="B1206"/>
      <c r="C1206"/>
      <c r="D1206"/>
      <c r="E1206"/>
      <c r="F1206"/>
      <c r="G1206"/>
      <c r="H1206"/>
      <c r="I1206"/>
      <c r="J1206"/>
      <c r="K1206"/>
      <c r="L1206" s="14"/>
      <c r="M1206"/>
      <c r="N1206"/>
      <c r="O1206"/>
      <c r="P1206"/>
    </row>
    <row r="1207" spans="1:16" x14ac:dyDescent="0.25">
      <c r="A1207"/>
      <c r="B1207"/>
      <c r="C1207"/>
      <c r="D1207"/>
      <c r="E1207"/>
      <c r="F1207"/>
      <c r="G1207"/>
      <c r="H1207"/>
      <c r="I1207"/>
      <c r="J1207"/>
      <c r="K1207"/>
      <c r="L1207" s="14"/>
      <c r="M1207"/>
      <c r="N1207"/>
      <c r="O1207"/>
      <c r="P1207"/>
    </row>
    <row r="1208" spans="1:16" x14ac:dyDescent="0.25">
      <c r="A1208"/>
      <c r="B1208"/>
      <c r="C1208"/>
      <c r="D1208"/>
      <c r="E1208"/>
      <c r="F1208"/>
      <c r="G1208"/>
      <c r="H1208"/>
      <c r="I1208"/>
      <c r="J1208"/>
      <c r="K1208"/>
      <c r="L1208" s="14"/>
      <c r="M1208"/>
      <c r="N1208"/>
      <c r="O1208"/>
      <c r="P1208"/>
    </row>
    <row r="1209" spans="1:16" x14ac:dyDescent="0.25">
      <c r="A1209"/>
      <c r="B1209"/>
      <c r="C1209"/>
      <c r="D1209"/>
      <c r="E1209"/>
      <c r="F1209"/>
      <c r="G1209"/>
      <c r="H1209"/>
      <c r="I1209"/>
      <c r="J1209"/>
      <c r="K1209"/>
      <c r="L1209" s="14"/>
      <c r="M1209"/>
      <c r="N1209"/>
      <c r="O1209"/>
      <c r="P1209"/>
    </row>
    <row r="1210" spans="1:16" x14ac:dyDescent="0.25">
      <c r="A1210"/>
      <c r="B1210"/>
      <c r="C1210"/>
      <c r="D1210"/>
      <c r="E1210"/>
      <c r="F1210"/>
      <c r="G1210"/>
      <c r="H1210"/>
      <c r="I1210"/>
      <c r="J1210"/>
      <c r="K1210"/>
      <c r="L1210" s="14"/>
      <c r="M1210"/>
      <c r="N1210"/>
      <c r="O1210"/>
      <c r="P1210"/>
    </row>
    <row r="1211" spans="1:16" x14ac:dyDescent="0.25">
      <c r="A1211"/>
      <c r="B1211"/>
      <c r="C1211"/>
      <c r="D1211"/>
      <c r="E1211"/>
      <c r="F1211"/>
      <c r="G1211"/>
      <c r="H1211"/>
      <c r="I1211"/>
      <c r="J1211"/>
      <c r="K1211"/>
      <c r="L1211" s="14"/>
      <c r="M1211"/>
      <c r="N1211"/>
      <c r="O1211"/>
      <c r="P1211"/>
    </row>
    <row r="1212" spans="1:16" x14ac:dyDescent="0.25">
      <c r="A1212"/>
      <c r="B1212"/>
      <c r="C1212"/>
      <c r="D1212"/>
      <c r="E1212"/>
      <c r="F1212"/>
      <c r="G1212"/>
      <c r="H1212"/>
      <c r="I1212"/>
      <c r="J1212"/>
      <c r="K1212"/>
      <c r="L1212" s="14"/>
      <c r="M1212"/>
      <c r="N1212"/>
      <c r="O1212"/>
      <c r="P1212"/>
    </row>
    <row r="1213" spans="1:16" x14ac:dyDescent="0.25">
      <c r="A1213"/>
      <c r="B1213"/>
      <c r="C1213"/>
      <c r="D1213"/>
      <c r="E1213"/>
      <c r="F1213"/>
      <c r="G1213"/>
      <c r="H1213"/>
      <c r="I1213"/>
      <c r="J1213"/>
      <c r="K1213"/>
      <c r="L1213" s="14"/>
      <c r="M1213"/>
      <c r="N1213"/>
      <c r="O1213"/>
      <c r="P1213"/>
    </row>
    <row r="1214" spans="1:16" x14ac:dyDescent="0.25">
      <c r="A1214"/>
      <c r="B1214"/>
      <c r="C1214"/>
      <c r="D1214"/>
      <c r="E1214"/>
      <c r="F1214"/>
      <c r="G1214"/>
      <c r="H1214"/>
      <c r="I1214"/>
      <c r="J1214"/>
      <c r="K1214"/>
      <c r="L1214" s="14"/>
      <c r="M1214"/>
      <c r="N1214"/>
      <c r="O1214"/>
      <c r="P1214"/>
    </row>
    <row r="1215" spans="1:16" x14ac:dyDescent="0.25">
      <c r="A1215"/>
      <c r="B1215"/>
      <c r="C1215"/>
      <c r="D1215"/>
      <c r="E1215"/>
      <c r="F1215"/>
      <c r="G1215"/>
      <c r="H1215"/>
      <c r="I1215"/>
      <c r="J1215"/>
      <c r="K1215"/>
      <c r="L1215" s="14"/>
      <c r="M1215"/>
      <c r="N1215"/>
      <c r="O1215"/>
      <c r="P1215"/>
    </row>
    <row r="1216" spans="1:16" x14ac:dyDescent="0.25">
      <c r="A1216"/>
      <c r="B1216"/>
      <c r="C1216"/>
      <c r="D1216"/>
      <c r="E1216"/>
      <c r="F1216"/>
      <c r="G1216"/>
      <c r="H1216"/>
      <c r="I1216"/>
      <c r="J1216"/>
      <c r="K1216"/>
      <c r="L1216" s="14"/>
      <c r="M1216"/>
      <c r="N1216"/>
      <c r="O1216"/>
      <c r="P1216"/>
    </row>
    <row r="1217" spans="1:16" x14ac:dyDescent="0.25">
      <c r="A1217"/>
      <c r="B1217"/>
      <c r="C1217"/>
      <c r="D1217"/>
      <c r="E1217"/>
      <c r="F1217"/>
      <c r="G1217"/>
      <c r="H1217"/>
      <c r="I1217"/>
      <c r="J1217"/>
      <c r="K1217"/>
      <c r="L1217" s="14"/>
      <c r="M1217"/>
      <c r="N1217"/>
      <c r="O1217"/>
      <c r="P1217"/>
    </row>
    <row r="1218" spans="1:16" x14ac:dyDescent="0.25">
      <c r="A1218"/>
      <c r="B1218"/>
      <c r="C1218"/>
      <c r="D1218"/>
      <c r="E1218"/>
      <c r="F1218"/>
      <c r="G1218"/>
      <c r="H1218"/>
      <c r="I1218"/>
      <c r="J1218"/>
      <c r="K1218"/>
      <c r="L1218" s="14"/>
      <c r="M1218"/>
      <c r="N1218"/>
      <c r="O1218"/>
      <c r="P1218"/>
    </row>
    <row r="1219" spans="1:16" x14ac:dyDescent="0.25">
      <c r="A1219"/>
      <c r="B1219"/>
      <c r="C1219"/>
      <c r="D1219"/>
      <c r="E1219"/>
      <c r="F1219"/>
      <c r="G1219"/>
      <c r="H1219"/>
      <c r="I1219"/>
      <c r="J1219"/>
      <c r="K1219"/>
      <c r="L1219" s="14"/>
      <c r="M1219"/>
      <c r="N1219"/>
      <c r="O1219"/>
      <c r="P1219"/>
    </row>
    <row r="1220" spans="1:16" x14ac:dyDescent="0.25">
      <c r="A1220"/>
      <c r="B1220"/>
      <c r="C1220"/>
      <c r="D1220"/>
      <c r="E1220"/>
      <c r="F1220"/>
      <c r="G1220"/>
      <c r="H1220"/>
      <c r="I1220"/>
      <c r="J1220"/>
      <c r="K1220"/>
      <c r="L1220" s="14"/>
      <c r="M1220"/>
      <c r="N1220"/>
      <c r="O1220"/>
      <c r="P1220"/>
    </row>
    <row r="1221" spans="1:16" x14ac:dyDescent="0.25">
      <c r="A1221"/>
      <c r="B1221"/>
      <c r="C1221"/>
      <c r="D1221"/>
      <c r="E1221"/>
      <c r="F1221"/>
      <c r="G1221"/>
      <c r="H1221"/>
      <c r="I1221"/>
      <c r="J1221"/>
      <c r="K1221"/>
      <c r="L1221" s="14"/>
      <c r="M1221"/>
      <c r="N1221"/>
      <c r="O1221"/>
      <c r="P1221"/>
    </row>
    <row r="1222" spans="1:16" x14ac:dyDescent="0.25">
      <c r="A1222"/>
      <c r="B1222"/>
      <c r="C1222"/>
      <c r="D1222"/>
      <c r="E1222"/>
      <c r="F1222"/>
      <c r="G1222"/>
      <c r="H1222"/>
      <c r="I1222"/>
      <c r="J1222"/>
      <c r="K1222"/>
      <c r="L1222" s="14"/>
      <c r="M1222"/>
      <c r="N1222"/>
      <c r="O1222"/>
      <c r="P1222"/>
    </row>
    <row r="1223" spans="1:16" x14ac:dyDescent="0.25">
      <c r="A1223"/>
      <c r="B1223"/>
      <c r="C1223"/>
      <c r="D1223"/>
      <c r="E1223"/>
      <c r="F1223"/>
      <c r="G1223"/>
      <c r="H1223"/>
      <c r="I1223"/>
      <c r="J1223"/>
      <c r="K1223"/>
      <c r="L1223" s="14"/>
      <c r="M1223"/>
      <c r="N1223"/>
      <c r="O1223"/>
      <c r="P1223"/>
    </row>
    <row r="1224" spans="1:16" x14ac:dyDescent="0.25">
      <c r="A1224"/>
      <c r="B1224"/>
      <c r="C1224"/>
      <c r="D1224"/>
      <c r="E1224"/>
      <c r="F1224"/>
      <c r="G1224"/>
      <c r="H1224"/>
      <c r="I1224"/>
      <c r="J1224"/>
      <c r="K1224"/>
      <c r="L1224" s="14"/>
      <c r="M1224"/>
      <c r="N1224"/>
      <c r="O1224"/>
      <c r="P1224"/>
    </row>
    <row r="1225" spans="1:16" x14ac:dyDescent="0.25">
      <c r="A1225"/>
      <c r="B1225"/>
      <c r="C1225"/>
      <c r="D1225"/>
      <c r="E1225"/>
      <c r="F1225"/>
      <c r="G1225"/>
      <c r="H1225"/>
      <c r="I1225"/>
      <c r="J1225"/>
      <c r="K1225"/>
      <c r="L1225" s="14"/>
      <c r="M1225"/>
      <c r="N1225"/>
      <c r="O1225"/>
      <c r="P1225"/>
    </row>
    <row r="1226" spans="1:16" x14ac:dyDescent="0.25">
      <c r="A1226"/>
      <c r="B1226"/>
      <c r="C1226"/>
      <c r="D1226"/>
      <c r="E1226"/>
      <c r="F1226"/>
      <c r="G1226"/>
      <c r="H1226"/>
      <c r="I1226"/>
      <c r="J1226"/>
      <c r="K1226"/>
      <c r="L1226" s="14"/>
      <c r="M1226"/>
      <c r="N1226"/>
      <c r="O1226"/>
      <c r="P1226"/>
    </row>
    <row r="1227" spans="1:16" x14ac:dyDescent="0.25">
      <c r="A1227"/>
      <c r="B1227"/>
      <c r="C1227"/>
      <c r="D1227"/>
      <c r="E1227"/>
      <c r="F1227"/>
      <c r="G1227"/>
      <c r="H1227"/>
      <c r="I1227"/>
      <c r="J1227"/>
      <c r="K1227"/>
      <c r="L1227" s="14"/>
      <c r="M1227"/>
      <c r="N1227"/>
      <c r="O1227"/>
      <c r="P1227"/>
    </row>
    <row r="1228" spans="1:16" x14ac:dyDescent="0.25">
      <c r="A1228"/>
      <c r="B1228"/>
      <c r="C1228"/>
      <c r="D1228"/>
      <c r="E1228"/>
      <c r="F1228"/>
      <c r="G1228"/>
      <c r="H1228"/>
      <c r="I1228"/>
      <c r="J1228"/>
      <c r="K1228"/>
      <c r="L1228" s="14"/>
      <c r="M1228"/>
      <c r="N1228"/>
      <c r="O1228"/>
      <c r="P1228"/>
    </row>
    <row r="1229" spans="1:16" x14ac:dyDescent="0.25">
      <c r="A1229"/>
      <c r="B1229"/>
      <c r="C1229"/>
      <c r="D1229"/>
      <c r="E1229"/>
      <c r="F1229"/>
      <c r="G1229"/>
      <c r="H1229"/>
      <c r="I1229"/>
      <c r="J1229"/>
      <c r="K1229"/>
      <c r="L1229" s="14"/>
      <c r="M1229"/>
      <c r="N1229"/>
      <c r="O1229"/>
      <c r="P1229"/>
    </row>
    <row r="1230" spans="1:16" x14ac:dyDescent="0.25">
      <c r="A1230"/>
      <c r="B1230"/>
      <c r="C1230"/>
      <c r="D1230"/>
      <c r="E1230"/>
      <c r="F1230"/>
      <c r="G1230"/>
      <c r="H1230"/>
      <c r="I1230"/>
      <c r="J1230"/>
      <c r="K1230"/>
      <c r="L1230" s="14"/>
      <c r="M1230"/>
      <c r="N1230"/>
      <c r="O1230"/>
      <c r="P1230"/>
    </row>
    <row r="1231" spans="1:16" x14ac:dyDescent="0.25">
      <c r="A1231"/>
      <c r="B1231"/>
      <c r="C1231"/>
      <c r="D1231"/>
      <c r="E1231"/>
      <c r="F1231"/>
      <c r="G1231"/>
      <c r="H1231"/>
      <c r="I1231"/>
      <c r="J1231"/>
      <c r="K1231"/>
      <c r="L1231" s="14"/>
      <c r="M1231"/>
      <c r="N1231"/>
      <c r="O1231"/>
      <c r="P1231"/>
    </row>
    <row r="1232" spans="1:16" x14ac:dyDescent="0.25">
      <c r="A1232"/>
      <c r="B1232"/>
      <c r="C1232"/>
      <c r="D1232"/>
      <c r="E1232"/>
      <c r="F1232"/>
      <c r="G1232"/>
      <c r="H1232"/>
      <c r="I1232"/>
      <c r="J1232"/>
      <c r="K1232"/>
      <c r="L1232" s="14"/>
      <c r="M1232"/>
      <c r="N1232"/>
      <c r="O1232"/>
      <c r="P1232"/>
    </row>
    <row r="1233" spans="1:16" x14ac:dyDescent="0.25">
      <c r="A1233"/>
      <c r="B1233"/>
      <c r="C1233"/>
      <c r="D1233"/>
      <c r="E1233"/>
      <c r="F1233"/>
      <c r="G1233"/>
      <c r="H1233"/>
      <c r="I1233"/>
      <c r="J1233"/>
      <c r="K1233"/>
      <c r="L1233" s="14"/>
      <c r="M1233"/>
      <c r="N1233"/>
      <c r="O1233"/>
      <c r="P1233"/>
    </row>
    <row r="1234" spans="1:16" x14ac:dyDescent="0.25">
      <c r="A1234"/>
      <c r="B1234"/>
      <c r="C1234"/>
      <c r="D1234"/>
      <c r="E1234"/>
      <c r="F1234"/>
      <c r="G1234"/>
      <c r="H1234"/>
      <c r="I1234"/>
      <c r="J1234"/>
      <c r="K1234"/>
      <c r="L1234" s="14"/>
      <c r="M1234"/>
      <c r="N1234"/>
      <c r="O1234"/>
      <c r="P1234"/>
    </row>
    <row r="1235" spans="1:16" x14ac:dyDescent="0.25">
      <c r="A1235"/>
      <c r="B1235"/>
      <c r="C1235"/>
      <c r="D1235"/>
      <c r="E1235"/>
      <c r="F1235"/>
      <c r="G1235"/>
      <c r="H1235"/>
      <c r="I1235"/>
      <c r="J1235"/>
      <c r="K1235"/>
      <c r="L1235" s="14"/>
      <c r="M1235"/>
      <c r="N1235"/>
      <c r="O1235"/>
      <c r="P1235"/>
    </row>
    <row r="1236" spans="1:16" x14ac:dyDescent="0.25">
      <c r="A1236"/>
      <c r="B1236"/>
      <c r="C1236"/>
      <c r="D1236"/>
      <c r="E1236"/>
      <c r="F1236"/>
      <c r="G1236"/>
      <c r="H1236"/>
      <c r="I1236"/>
      <c r="J1236"/>
      <c r="K1236"/>
      <c r="L1236" s="14"/>
      <c r="M1236"/>
      <c r="N1236"/>
      <c r="O1236"/>
      <c r="P1236"/>
    </row>
    <row r="1237" spans="1:16" x14ac:dyDescent="0.25">
      <c r="A1237"/>
      <c r="B1237"/>
      <c r="C1237"/>
      <c r="D1237"/>
      <c r="E1237"/>
      <c r="F1237"/>
      <c r="G1237"/>
      <c r="H1237"/>
      <c r="I1237"/>
      <c r="J1237"/>
      <c r="K1237"/>
      <c r="L1237" s="14"/>
      <c r="M1237"/>
      <c r="N1237"/>
      <c r="O1237"/>
      <c r="P1237"/>
    </row>
    <row r="1238" spans="1:16" x14ac:dyDescent="0.25">
      <c r="A1238"/>
      <c r="B1238"/>
      <c r="C1238"/>
      <c r="D1238"/>
      <c r="E1238"/>
      <c r="F1238"/>
      <c r="G1238"/>
      <c r="H1238"/>
      <c r="I1238"/>
      <c r="J1238"/>
      <c r="K1238"/>
      <c r="L1238" s="14"/>
      <c r="M1238"/>
      <c r="N1238"/>
      <c r="O1238"/>
      <c r="P1238"/>
    </row>
    <row r="1239" spans="1:16" x14ac:dyDescent="0.25">
      <c r="A1239"/>
      <c r="B1239"/>
      <c r="C1239"/>
      <c r="D1239"/>
      <c r="E1239"/>
      <c r="F1239"/>
      <c r="G1239"/>
      <c r="H1239"/>
      <c r="I1239"/>
      <c r="J1239"/>
      <c r="K1239"/>
      <c r="L1239" s="14"/>
      <c r="M1239"/>
      <c r="N1239"/>
      <c r="O1239"/>
      <c r="P1239"/>
    </row>
    <row r="1240" spans="1:16" x14ac:dyDescent="0.25">
      <c r="A1240"/>
      <c r="B1240"/>
      <c r="C1240"/>
      <c r="D1240"/>
      <c r="E1240"/>
      <c r="F1240"/>
      <c r="G1240"/>
      <c r="H1240"/>
      <c r="I1240"/>
      <c r="J1240"/>
      <c r="K1240"/>
      <c r="L1240" s="14"/>
      <c r="M1240"/>
      <c r="N1240"/>
      <c r="O1240"/>
      <c r="P1240"/>
    </row>
    <row r="1241" spans="1:16" x14ac:dyDescent="0.25">
      <c r="A1241"/>
      <c r="B1241"/>
      <c r="C1241"/>
      <c r="D1241"/>
      <c r="E1241"/>
      <c r="F1241"/>
      <c r="G1241"/>
      <c r="H1241"/>
      <c r="I1241"/>
      <c r="J1241"/>
      <c r="K1241"/>
      <c r="L1241" s="14"/>
      <c r="M1241"/>
      <c r="N1241"/>
      <c r="O1241"/>
      <c r="P1241"/>
    </row>
    <row r="1242" spans="1:16" x14ac:dyDescent="0.25">
      <c r="A1242"/>
      <c r="B1242"/>
      <c r="C1242"/>
      <c r="D1242"/>
      <c r="E1242"/>
      <c r="F1242"/>
      <c r="G1242"/>
      <c r="H1242"/>
      <c r="I1242"/>
      <c r="J1242"/>
      <c r="K1242"/>
      <c r="L1242" s="14"/>
      <c r="M1242"/>
      <c r="N1242"/>
      <c r="O1242"/>
      <c r="P1242"/>
    </row>
    <row r="1243" spans="1:16" x14ac:dyDescent="0.25">
      <c r="A1243"/>
      <c r="B1243"/>
      <c r="C1243"/>
      <c r="D1243"/>
      <c r="E1243"/>
      <c r="F1243"/>
      <c r="G1243"/>
      <c r="H1243"/>
      <c r="I1243"/>
      <c r="J1243"/>
      <c r="K1243"/>
      <c r="L1243" s="14"/>
      <c r="M1243"/>
      <c r="N1243"/>
      <c r="O1243"/>
      <c r="P1243"/>
    </row>
    <row r="1244" spans="1:16" x14ac:dyDescent="0.25">
      <c r="A1244"/>
      <c r="B1244"/>
      <c r="C1244"/>
      <c r="D1244"/>
      <c r="E1244"/>
      <c r="F1244"/>
      <c r="G1244"/>
      <c r="H1244"/>
      <c r="I1244"/>
      <c r="J1244"/>
      <c r="K1244"/>
      <c r="L1244" s="14"/>
      <c r="M1244"/>
      <c r="N1244"/>
      <c r="O1244"/>
      <c r="P1244"/>
    </row>
    <row r="1245" spans="1:16" x14ac:dyDescent="0.25">
      <c r="A1245"/>
      <c r="B1245"/>
      <c r="C1245"/>
      <c r="D1245"/>
      <c r="E1245"/>
      <c r="F1245"/>
      <c r="G1245"/>
      <c r="H1245"/>
      <c r="I1245"/>
      <c r="J1245"/>
      <c r="K1245"/>
      <c r="L1245" s="14"/>
      <c r="M1245"/>
      <c r="N1245"/>
      <c r="O1245"/>
      <c r="P1245"/>
    </row>
    <row r="1246" spans="1:16" x14ac:dyDescent="0.25">
      <c r="A1246"/>
      <c r="B1246"/>
      <c r="C1246"/>
      <c r="D1246"/>
      <c r="E1246"/>
      <c r="F1246"/>
      <c r="G1246"/>
      <c r="H1246"/>
      <c r="I1246"/>
      <c r="J1246"/>
      <c r="K1246"/>
      <c r="L1246" s="14"/>
      <c r="M1246"/>
      <c r="N1246"/>
      <c r="O1246"/>
      <c r="P1246"/>
    </row>
    <row r="1247" spans="1:16" x14ac:dyDescent="0.25">
      <c r="A1247"/>
      <c r="B1247"/>
      <c r="C1247"/>
      <c r="D1247"/>
      <c r="E1247"/>
      <c r="F1247"/>
      <c r="G1247"/>
      <c r="H1247"/>
      <c r="I1247"/>
      <c r="J1247"/>
      <c r="K1247"/>
      <c r="L1247" s="14"/>
      <c r="M1247"/>
      <c r="N1247"/>
      <c r="O1247"/>
      <c r="P1247"/>
    </row>
    <row r="1248" spans="1:16" x14ac:dyDescent="0.25">
      <c r="A1248"/>
      <c r="B1248"/>
      <c r="C1248"/>
      <c r="D1248"/>
      <c r="E1248"/>
      <c r="F1248"/>
      <c r="G1248"/>
      <c r="H1248"/>
      <c r="I1248"/>
      <c r="J1248"/>
      <c r="K1248"/>
      <c r="L1248" s="14"/>
      <c r="M1248"/>
      <c r="N1248"/>
      <c r="O1248"/>
      <c r="P1248"/>
    </row>
    <row r="1249" spans="1:16" x14ac:dyDescent="0.25">
      <c r="A1249"/>
      <c r="B1249"/>
      <c r="C1249"/>
      <c r="D1249"/>
      <c r="E1249"/>
      <c r="F1249"/>
      <c r="G1249"/>
      <c r="H1249"/>
      <c r="I1249"/>
      <c r="J1249"/>
      <c r="K1249"/>
      <c r="L1249" s="14"/>
      <c r="M1249"/>
      <c r="N1249"/>
      <c r="O1249"/>
      <c r="P1249"/>
    </row>
    <row r="1250" spans="1:16" x14ac:dyDescent="0.25">
      <c r="A1250"/>
      <c r="B1250"/>
      <c r="C1250"/>
      <c r="D1250"/>
      <c r="E1250"/>
      <c r="F1250"/>
      <c r="G1250"/>
      <c r="H1250"/>
      <c r="I1250"/>
      <c r="J1250"/>
      <c r="K1250"/>
      <c r="L1250" s="14"/>
      <c r="M1250"/>
      <c r="N1250"/>
      <c r="O1250"/>
      <c r="P1250"/>
    </row>
    <row r="1251" spans="1:16" x14ac:dyDescent="0.25">
      <c r="A1251"/>
      <c r="B1251"/>
      <c r="C1251"/>
      <c r="D1251"/>
      <c r="E1251"/>
      <c r="F1251"/>
      <c r="G1251"/>
      <c r="H1251"/>
      <c r="I1251"/>
      <c r="J1251"/>
      <c r="K1251"/>
      <c r="L1251" s="14"/>
      <c r="M1251"/>
      <c r="N1251"/>
      <c r="O1251"/>
      <c r="P1251"/>
    </row>
    <row r="1252" spans="1:16" x14ac:dyDescent="0.25">
      <c r="A1252"/>
      <c r="B1252"/>
      <c r="C1252"/>
      <c r="D1252"/>
      <c r="E1252"/>
      <c r="F1252"/>
      <c r="G1252"/>
      <c r="H1252"/>
      <c r="I1252"/>
      <c r="J1252"/>
      <c r="K1252"/>
      <c r="L1252" s="14"/>
      <c r="M1252"/>
      <c r="N1252"/>
      <c r="O1252"/>
      <c r="P1252"/>
    </row>
    <row r="1253" spans="1:16" x14ac:dyDescent="0.25">
      <c r="A1253"/>
      <c r="B1253"/>
      <c r="C1253"/>
      <c r="D1253"/>
      <c r="E1253"/>
      <c r="F1253"/>
      <c r="G1253"/>
      <c r="H1253"/>
      <c r="I1253"/>
      <c r="J1253"/>
      <c r="K1253"/>
      <c r="L1253" s="14"/>
      <c r="M1253"/>
      <c r="N1253"/>
      <c r="O1253"/>
      <c r="P1253"/>
    </row>
    <row r="1254" spans="1:16" x14ac:dyDescent="0.25">
      <c r="A1254"/>
      <c r="B1254"/>
      <c r="C1254"/>
      <c r="D1254"/>
      <c r="E1254"/>
      <c r="F1254"/>
      <c r="G1254"/>
      <c r="H1254"/>
      <c r="I1254"/>
      <c r="J1254"/>
      <c r="K1254"/>
      <c r="L1254" s="14"/>
      <c r="M1254"/>
      <c r="N1254"/>
      <c r="O1254"/>
      <c r="P1254"/>
    </row>
    <row r="1255" spans="1:16" x14ac:dyDescent="0.25">
      <c r="A1255"/>
      <c r="B1255"/>
      <c r="C1255"/>
      <c r="D1255"/>
      <c r="E1255"/>
      <c r="F1255"/>
      <c r="G1255"/>
      <c r="H1255"/>
      <c r="I1255"/>
      <c r="J1255"/>
      <c r="K1255"/>
      <c r="L1255" s="14"/>
      <c r="M1255"/>
      <c r="N1255"/>
      <c r="O1255"/>
      <c r="P1255"/>
    </row>
    <row r="1256" spans="1:16" x14ac:dyDescent="0.25">
      <c r="A1256"/>
      <c r="B1256"/>
      <c r="C1256"/>
      <c r="D1256"/>
      <c r="E1256"/>
      <c r="F1256"/>
      <c r="G1256"/>
      <c r="H1256"/>
      <c r="I1256"/>
      <c r="J1256"/>
      <c r="K1256"/>
      <c r="L1256" s="14"/>
      <c r="M1256"/>
      <c r="N1256"/>
      <c r="O1256"/>
      <c r="P1256"/>
    </row>
    <row r="1257" spans="1:16" x14ac:dyDescent="0.25">
      <c r="A1257"/>
      <c r="B1257"/>
      <c r="C1257"/>
      <c r="D1257"/>
      <c r="E1257"/>
      <c r="F1257"/>
      <c r="G1257"/>
      <c r="H1257"/>
      <c r="I1257"/>
      <c r="J1257"/>
      <c r="K1257"/>
      <c r="L1257" s="14"/>
      <c r="M1257"/>
      <c r="N1257"/>
      <c r="O1257"/>
      <c r="P1257"/>
    </row>
    <row r="1258" spans="1:16" x14ac:dyDescent="0.25">
      <c r="A1258"/>
      <c r="B1258"/>
      <c r="C1258"/>
      <c r="D1258"/>
      <c r="E1258"/>
      <c r="F1258"/>
      <c r="G1258"/>
      <c r="H1258"/>
      <c r="I1258"/>
      <c r="J1258"/>
      <c r="K1258"/>
      <c r="L1258" s="14"/>
      <c r="M1258"/>
      <c r="N1258"/>
      <c r="O1258"/>
      <c r="P1258"/>
    </row>
    <row r="1259" spans="1:16" x14ac:dyDescent="0.25">
      <c r="A1259"/>
      <c r="B1259"/>
      <c r="C1259"/>
      <c r="D1259"/>
      <c r="E1259"/>
      <c r="F1259"/>
      <c r="G1259"/>
      <c r="H1259"/>
      <c r="I1259"/>
      <c r="J1259"/>
      <c r="K1259"/>
      <c r="L1259" s="14"/>
      <c r="M1259"/>
      <c r="N1259"/>
      <c r="O1259"/>
      <c r="P1259"/>
    </row>
    <row r="1260" spans="1:16" x14ac:dyDescent="0.25">
      <c r="A1260"/>
      <c r="B1260"/>
      <c r="C1260"/>
      <c r="D1260"/>
      <c r="E1260"/>
      <c r="F1260"/>
      <c r="G1260"/>
      <c r="H1260"/>
      <c r="I1260"/>
      <c r="J1260"/>
      <c r="K1260"/>
      <c r="L1260" s="14"/>
      <c r="M1260"/>
      <c r="N1260"/>
      <c r="O1260"/>
      <c r="P1260"/>
    </row>
    <row r="1261" spans="1:16" x14ac:dyDescent="0.25">
      <c r="A1261"/>
      <c r="B1261"/>
      <c r="C1261"/>
      <c r="D1261"/>
      <c r="E1261"/>
      <c r="F1261"/>
      <c r="G1261"/>
      <c r="H1261"/>
      <c r="I1261"/>
      <c r="J1261"/>
      <c r="K1261"/>
      <c r="L1261" s="14"/>
      <c r="M1261"/>
      <c r="N1261"/>
      <c r="O1261"/>
      <c r="P1261"/>
    </row>
    <row r="1262" spans="1:16" x14ac:dyDescent="0.25">
      <c r="A1262"/>
      <c r="B1262"/>
      <c r="C1262"/>
      <c r="D1262"/>
      <c r="E1262"/>
      <c r="F1262"/>
      <c r="G1262"/>
      <c r="H1262"/>
      <c r="I1262"/>
      <c r="J1262"/>
      <c r="K1262"/>
      <c r="L1262" s="14"/>
      <c r="M1262"/>
      <c r="N1262"/>
      <c r="O1262"/>
      <c r="P1262"/>
    </row>
    <row r="1263" spans="1:16" x14ac:dyDescent="0.25">
      <c r="A1263"/>
      <c r="B1263"/>
      <c r="C1263"/>
      <c r="D1263"/>
      <c r="E1263"/>
      <c r="F1263"/>
      <c r="G1263"/>
      <c r="H1263"/>
      <c r="I1263"/>
      <c r="J1263"/>
      <c r="K1263"/>
      <c r="L1263" s="14"/>
      <c r="M1263"/>
      <c r="N1263"/>
      <c r="O1263"/>
      <c r="P1263"/>
    </row>
    <row r="1264" spans="1:16" x14ac:dyDescent="0.25">
      <c r="A1264"/>
      <c r="B1264"/>
      <c r="C1264"/>
      <c r="D1264"/>
      <c r="E1264"/>
      <c r="F1264"/>
      <c r="G1264"/>
      <c r="H1264"/>
      <c r="I1264"/>
      <c r="J1264"/>
      <c r="K1264"/>
      <c r="L1264" s="14"/>
      <c r="M1264"/>
      <c r="N1264"/>
      <c r="O1264"/>
      <c r="P1264"/>
    </row>
    <row r="1265" spans="1:16" x14ac:dyDescent="0.25">
      <c r="A1265"/>
      <c r="B1265"/>
      <c r="C1265"/>
      <c r="D1265"/>
      <c r="E1265"/>
      <c r="F1265"/>
      <c r="G1265"/>
      <c r="H1265"/>
      <c r="I1265"/>
      <c r="J1265"/>
      <c r="K1265"/>
      <c r="L1265" s="14"/>
      <c r="M1265"/>
      <c r="N1265"/>
      <c r="O1265"/>
      <c r="P1265"/>
    </row>
    <row r="1266" spans="1:16" x14ac:dyDescent="0.25">
      <c r="A1266"/>
      <c r="B1266"/>
      <c r="C1266"/>
      <c r="D1266"/>
      <c r="E1266"/>
      <c r="F1266"/>
      <c r="G1266"/>
      <c r="H1266"/>
      <c r="I1266"/>
      <c r="J1266"/>
      <c r="K1266"/>
      <c r="L1266" s="14"/>
      <c r="M1266"/>
      <c r="N1266"/>
      <c r="O1266"/>
      <c r="P1266"/>
    </row>
    <row r="1267" spans="1:16" x14ac:dyDescent="0.25">
      <c r="A1267"/>
      <c r="B1267"/>
      <c r="C1267"/>
      <c r="D1267"/>
      <c r="E1267"/>
      <c r="F1267"/>
      <c r="G1267"/>
      <c r="H1267"/>
      <c r="I1267"/>
      <c r="J1267"/>
      <c r="K1267"/>
      <c r="L1267" s="14"/>
      <c r="M1267"/>
      <c r="N1267"/>
      <c r="O1267"/>
      <c r="P1267"/>
    </row>
    <row r="1268" spans="1:16" x14ac:dyDescent="0.25">
      <c r="A1268"/>
      <c r="B1268"/>
      <c r="C1268"/>
      <c r="D1268"/>
      <c r="E1268"/>
      <c r="F1268"/>
      <c r="G1268"/>
      <c r="H1268"/>
      <c r="I1268"/>
      <c r="J1268"/>
      <c r="K1268"/>
      <c r="L1268" s="14"/>
      <c r="M1268"/>
      <c r="N1268"/>
      <c r="O1268"/>
      <c r="P1268"/>
    </row>
    <row r="1269" spans="1:16" x14ac:dyDescent="0.25">
      <c r="A1269"/>
      <c r="B1269"/>
      <c r="C1269"/>
      <c r="D1269"/>
      <c r="E1269"/>
      <c r="F1269"/>
      <c r="G1269"/>
      <c r="H1269"/>
      <c r="I1269"/>
      <c r="J1269"/>
      <c r="K1269"/>
      <c r="L1269" s="14"/>
      <c r="M1269"/>
      <c r="N1269"/>
      <c r="O1269"/>
      <c r="P1269"/>
    </row>
    <row r="1270" spans="1:16" x14ac:dyDescent="0.25">
      <c r="A1270"/>
      <c r="B1270"/>
      <c r="C1270"/>
      <c r="D1270"/>
      <c r="E1270"/>
      <c r="F1270"/>
      <c r="G1270"/>
      <c r="H1270"/>
      <c r="I1270"/>
      <c r="J1270"/>
      <c r="K1270"/>
      <c r="L1270" s="14"/>
      <c r="M1270"/>
      <c r="N1270"/>
      <c r="O1270"/>
      <c r="P1270"/>
    </row>
    <row r="1271" spans="1:16" x14ac:dyDescent="0.25">
      <c r="A1271"/>
      <c r="B1271"/>
      <c r="C1271"/>
      <c r="D1271"/>
      <c r="E1271"/>
      <c r="F1271"/>
      <c r="G1271"/>
      <c r="H1271"/>
      <c r="I1271"/>
      <c r="J1271"/>
      <c r="K1271"/>
      <c r="L1271" s="14"/>
      <c r="M1271"/>
      <c r="N1271"/>
      <c r="O1271"/>
      <c r="P1271"/>
    </row>
    <row r="1272" spans="1:16" x14ac:dyDescent="0.25">
      <c r="A1272"/>
      <c r="B1272"/>
      <c r="C1272"/>
      <c r="D1272"/>
      <c r="E1272"/>
      <c r="F1272"/>
      <c r="G1272"/>
      <c r="H1272"/>
      <c r="I1272"/>
      <c r="J1272"/>
      <c r="K1272"/>
      <c r="L1272" s="14"/>
      <c r="M1272"/>
      <c r="N1272"/>
      <c r="O1272"/>
      <c r="P1272"/>
    </row>
    <row r="1273" spans="1:16" x14ac:dyDescent="0.25">
      <c r="A1273"/>
      <c r="B1273"/>
      <c r="C1273"/>
      <c r="D1273"/>
      <c r="E1273"/>
      <c r="F1273"/>
      <c r="G1273"/>
      <c r="H1273"/>
      <c r="I1273"/>
      <c r="J1273"/>
      <c r="K1273"/>
      <c r="L1273" s="14"/>
      <c r="M1273"/>
      <c r="N1273"/>
      <c r="O1273"/>
      <c r="P1273"/>
    </row>
    <row r="1274" spans="1:16" x14ac:dyDescent="0.25">
      <c r="A1274"/>
      <c r="B1274"/>
      <c r="C1274"/>
      <c r="D1274"/>
      <c r="E1274"/>
      <c r="F1274"/>
      <c r="G1274"/>
      <c r="H1274"/>
      <c r="I1274"/>
      <c r="J1274"/>
      <c r="K1274"/>
      <c r="L1274" s="14"/>
      <c r="M1274"/>
      <c r="N1274"/>
      <c r="O1274"/>
      <c r="P1274"/>
    </row>
    <row r="1275" spans="1:16" x14ac:dyDescent="0.25">
      <c r="A1275"/>
      <c r="B1275"/>
      <c r="C1275"/>
      <c r="D1275"/>
      <c r="E1275"/>
      <c r="F1275"/>
      <c r="G1275"/>
      <c r="H1275"/>
      <c r="I1275"/>
      <c r="J1275"/>
      <c r="K1275"/>
      <c r="L1275" s="14"/>
      <c r="M1275"/>
      <c r="N1275"/>
      <c r="O1275"/>
      <c r="P1275"/>
    </row>
    <row r="1276" spans="1:16" x14ac:dyDescent="0.25">
      <c r="A1276"/>
      <c r="B1276"/>
      <c r="C1276"/>
      <c r="D1276"/>
      <c r="E1276"/>
      <c r="F1276"/>
      <c r="G1276"/>
      <c r="H1276"/>
      <c r="I1276"/>
      <c r="J1276"/>
      <c r="K1276"/>
      <c r="L1276" s="14"/>
      <c r="M1276"/>
      <c r="N1276"/>
      <c r="O1276"/>
      <c r="P1276"/>
    </row>
    <row r="1277" spans="1:16" x14ac:dyDescent="0.25">
      <c r="A1277"/>
      <c r="B1277"/>
      <c r="C1277"/>
      <c r="D1277"/>
      <c r="E1277"/>
      <c r="F1277"/>
      <c r="G1277"/>
      <c r="H1277"/>
      <c r="I1277"/>
      <c r="J1277"/>
      <c r="K1277"/>
      <c r="L1277" s="14"/>
      <c r="M1277"/>
      <c r="N1277"/>
      <c r="O1277"/>
      <c r="P1277"/>
    </row>
    <row r="1278" spans="1:16" x14ac:dyDescent="0.25">
      <c r="A1278"/>
      <c r="B1278"/>
      <c r="C1278"/>
      <c r="D1278"/>
      <c r="E1278"/>
      <c r="F1278"/>
      <c r="G1278"/>
      <c r="H1278"/>
      <c r="I1278"/>
      <c r="J1278"/>
      <c r="K1278"/>
      <c r="L1278" s="14"/>
      <c r="M1278"/>
      <c r="N1278"/>
      <c r="O1278"/>
      <c r="P1278"/>
    </row>
    <row r="1279" spans="1:16" x14ac:dyDescent="0.25">
      <c r="A1279"/>
      <c r="B1279"/>
      <c r="C1279"/>
      <c r="D1279"/>
      <c r="E1279"/>
      <c r="F1279"/>
      <c r="G1279"/>
      <c r="H1279"/>
      <c r="I1279"/>
      <c r="J1279"/>
      <c r="K1279"/>
      <c r="L1279" s="14"/>
      <c r="M1279"/>
      <c r="N1279"/>
      <c r="O1279"/>
      <c r="P1279"/>
    </row>
    <row r="1280" spans="1:16" x14ac:dyDescent="0.25">
      <c r="A1280"/>
      <c r="B1280"/>
      <c r="C1280"/>
      <c r="D1280"/>
      <c r="E1280"/>
      <c r="F1280"/>
      <c r="G1280"/>
      <c r="H1280"/>
      <c r="I1280"/>
      <c r="J1280"/>
      <c r="K1280"/>
      <c r="L1280" s="14"/>
      <c r="M1280"/>
      <c r="N1280"/>
      <c r="O1280"/>
      <c r="P1280"/>
    </row>
    <row r="1281" spans="1:16" x14ac:dyDescent="0.25">
      <c r="A1281"/>
      <c r="B1281"/>
      <c r="C1281"/>
      <c r="D1281"/>
      <c r="E1281"/>
      <c r="F1281"/>
      <c r="G1281"/>
      <c r="H1281"/>
      <c r="I1281"/>
      <c r="J1281"/>
      <c r="K1281"/>
      <c r="L1281" s="14"/>
      <c r="M1281"/>
      <c r="N1281"/>
      <c r="O1281"/>
      <c r="P1281"/>
    </row>
    <row r="1282" spans="1:16" x14ac:dyDescent="0.25">
      <c r="A1282"/>
      <c r="B1282"/>
      <c r="C1282"/>
      <c r="D1282"/>
      <c r="E1282"/>
      <c r="F1282"/>
      <c r="G1282"/>
      <c r="H1282"/>
      <c r="I1282"/>
      <c r="J1282"/>
      <c r="K1282"/>
      <c r="L1282" s="14"/>
      <c r="M1282"/>
      <c r="N1282"/>
      <c r="O1282"/>
      <c r="P1282"/>
    </row>
    <row r="1283" spans="1:16" x14ac:dyDescent="0.25">
      <c r="A1283"/>
      <c r="B1283"/>
      <c r="C1283"/>
      <c r="D1283"/>
      <c r="E1283"/>
      <c r="F1283"/>
      <c r="G1283"/>
      <c r="H1283"/>
      <c r="I1283"/>
      <c r="J1283"/>
      <c r="K1283"/>
      <c r="L1283" s="14"/>
      <c r="M1283"/>
      <c r="N1283"/>
      <c r="O1283"/>
      <c r="P1283"/>
    </row>
    <row r="1284" spans="1:16" x14ac:dyDescent="0.25">
      <c r="A1284"/>
      <c r="B1284"/>
      <c r="C1284"/>
      <c r="D1284"/>
      <c r="E1284"/>
      <c r="F1284"/>
      <c r="G1284"/>
      <c r="H1284"/>
      <c r="I1284"/>
      <c r="J1284"/>
      <c r="K1284"/>
      <c r="L1284" s="14"/>
      <c r="M1284"/>
      <c r="N1284"/>
      <c r="O1284"/>
      <c r="P1284"/>
    </row>
    <row r="1285" spans="1:16" x14ac:dyDescent="0.25">
      <c r="A1285"/>
      <c r="B1285"/>
      <c r="C1285"/>
      <c r="D1285"/>
      <c r="E1285"/>
      <c r="F1285"/>
      <c r="G1285"/>
      <c r="H1285"/>
      <c r="I1285"/>
      <c r="J1285"/>
      <c r="K1285"/>
      <c r="L1285" s="14"/>
      <c r="M1285"/>
      <c r="N1285"/>
      <c r="O1285"/>
      <c r="P1285"/>
    </row>
    <row r="1286" spans="1:16" x14ac:dyDescent="0.25">
      <c r="A1286"/>
      <c r="B1286"/>
      <c r="C1286"/>
      <c r="D1286"/>
      <c r="E1286"/>
      <c r="F1286"/>
      <c r="G1286"/>
      <c r="H1286"/>
      <c r="I1286"/>
      <c r="J1286"/>
      <c r="K1286"/>
      <c r="L1286" s="14"/>
      <c r="M1286"/>
      <c r="N1286"/>
      <c r="O1286"/>
      <c r="P1286"/>
    </row>
    <row r="1287" spans="1:16" x14ac:dyDescent="0.25">
      <c r="A1287"/>
      <c r="B1287"/>
      <c r="C1287"/>
      <c r="D1287"/>
      <c r="E1287"/>
      <c r="F1287"/>
      <c r="G1287"/>
      <c r="H1287"/>
      <c r="I1287"/>
      <c r="J1287"/>
      <c r="K1287"/>
      <c r="L1287" s="14"/>
      <c r="M1287"/>
      <c r="N1287"/>
      <c r="O1287"/>
      <c r="P1287"/>
    </row>
    <row r="1288" spans="1:16" x14ac:dyDescent="0.25">
      <c r="A1288"/>
      <c r="B1288"/>
      <c r="C1288"/>
      <c r="D1288"/>
      <c r="E1288"/>
      <c r="F1288"/>
      <c r="G1288"/>
      <c r="H1288"/>
      <c r="I1288"/>
      <c r="J1288"/>
      <c r="K1288"/>
      <c r="L1288" s="14"/>
      <c r="M1288"/>
      <c r="N1288"/>
      <c r="O1288"/>
      <c r="P1288"/>
    </row>
    <row r="1289" spans="1:16" x14ac:dyDescent="0.25">
      <c r="A1289"/>
      <c r="B1289"/>
      <c r="C1289"/>
      <c r="D1289"/>
      <c r="E1289"/>
      <c r="F1289"/>
      <c r="G1289"/>
      <c r="H1289"/>
      <c r="I1289"/>
      <c r="J1289"/>
      <c r="K1289"/>
      <c r="L1289" s="14"/>
      <c r="M1289"/>
      <c r="N1289"/>
      <c r="O1289"/>
      <c r="P1289"/>
    </row>
    <row r="1290" spans="1:16" x14ac:dyDescent="0.25">
      <c r="A1290"/>
      <c r="B1290"/>
      <c r="C1290"/>
      <c r="D1290"/>
      <c r="E1290"/>
      <c r="F1290"/>
      <c r="G1290"/>
      <c r="H1290"/>
      <c r="I1290"/>
      <c r="J1290"/>
      <c r="K1290"/>
      <c r="L1290" s="14"/>
      <c r="M1290"/>
      <c r="N1290"/>
      <c r="O1290"/>
      <c r="P1290"/>
    </row>
    <row r="1291" spans="1:16" x14ac:dyDescent="0.25">
      <c r="A1291"/>
      <c r="B1291"/>
      <c r="C1291"/>
      <c r="D1291"/>
      <c r="E1291"/>
      <c r="F1291"/>
      <c r="G1291"/>
      <c r="H1291"/>
      <c r="I1291"/>
      <c r="J1291"/>
      <c r="K1291"/>
      <c r="L1291" s="14"/>
      <c r="M1291"/>
      <c r="N1291"/>
      <c r="O1291"/>
      <c r="P1291"/>
    </row>
    <row r="1292" spans="1:16" x14ac:dyDescent="0.25">
      <c r="A1292"/>
      <c r="B1292"/>
      <c r="C1292"/>
      <c r="D1292"/>
      <c r="E1292"/>
      <c r="F1292"/>
      <c r="G1292"/>
      <c r="H1292"/>
      <c r="I1292"/>
      <c r="J1292"/>
      <c r="K1292"/>
      <c r="L1292" s="14"/>
      <c r="M1292"/>
      <c r="N1292"/>
      <c r="O1292"/>
      <c r="P1292"/>
    </row>
    <row r="1293" spans="1:16" x14ac:dyDescent="0.25">
      <c r="A1293"/>
      <c r="B1293"/>
      <c r="C1293"/>
      <c r="D1293"/>
      <c r="E1293"/>
      <c r="F1293"/>
      <c r="G1293"/>
      <c r="H1293"/>
      <c r="I1293"/>
      <c r="J1293"/>
      <c r="K1293"/>
      <c r="L1293" s="14"/>
      <c r="M1293"/>
      <c r="N1293"/>
      <c r="O1293"/>
      <c r="P1293"/>
    </row>
    <row r="1294" spans="1:16" x14ac:dyDescent="0.25">
      <c r="A1294"/>
      <c r="B1294"/>
      <c r="C1294"/>
      <c r="D1294"/>
      <c r="E1294"/>
      <c r="F1294"/>
      <c r="G1294"/>
      <c r="H1294"/>
      <c r="I1294"/>
      <c r="J1294"/>
      <c r="K1294"/>
      <c r="L1294" s="14"/>
      <c r="M1294"/>
      <c r="N1294"/>
      <c r="O1294"/>
      <c r="P1294"/>
    </row>
    <row r="1295" spans="1:16" x14ac:dyDescent="0.25">
      <c r="A1295"/>
      <c r="B1295"/>
      <c r="C1295"/>
      <c r="D1295"/>
      <c r="E1295"/>
      <c r="F1295"/>
      <c r="G1295"/>
      <c r="H1295"/>
      <c r="I1295"/>
      <c r="J1295"/>
      <c r="K1295"/>
      <c r="L1295" s="14"/>
      <c r="M1295"/>
      <c r="N1295"/>
      <c r="O1295"/>
      <c r="P1295"/>
    </row>
    <row r="1296" spans="1:16" x14ac:dyDescent="0.25">
      <c r="A1296"/>
      <c r="B1296"/>
      <c r="C1296"/>
      <c r="D1296"/>
      <c r="E1296"/>
      <c r="F1296"/>
      <c r="G1296"/>
      <c r="H1296"/>
      <c r="I1296"/>
      <c r="J1296"/>
      <c r="K1296"/>
      <c r="L1296" s="14"/>
      <c r="M1296"/>
      <c r="N1296"/>
      <c r="O1296"/>
      <c r="P1296"/>
    </row>
    <row r="1297" spans="1:16" x14ac:dyDescent="0.25">
      <c r="A1297"/>
      <c r="B1297"/>
      <c r="C1297"/>
      <c r="D1297"/>
      <c r="E1297"/>
      <c r="F1297"/>
      <c r="G1297"/>
      <c r="H1297"/>
      <c r="I1297"/>
      <c r="J1297"/>
      <c r="K1297"/>
      <c r="L1297" s="14"/>
      <c r="M1297"/>
      <c r="N1297"/>
      <c r="O1297"/>
      <c r="P1297"/>
    </row>
    <row r="1298" spans="1:16" x14ac:dyDescent="0.25">
      <c r="A1298"/>
      <c r="B1298"/>
      <c r="C1298"/>
      <c r="D1298"/>
      <c r="E1298"/>
      <c r="F1298"/>
      <c r="G1298"/>
      <c r="H1298"/>
      <c r="I1298"/>
      <c r="J1298"/>
      <c r="K1298"/>
      <c r="L1298" s="14"/>
      <c r="M1298"/>
      <c r="N1298"/>
      <c r="O1298"/>
      <c r="P1298"/>
    </row>
    <row r="1299" spans="1:16" x14ac:dyDescent="0.25">
      <c r="A1299"/>
      <c r="B1299"/>
      <c r="C1299"/>
      <c r="D1299"/>
      <c r="E1299"/>
      <c r="F1299"/>
      <c r="G1299"/>
      <c r="H1299"/>
      <c r="I1299"/>
      <c r="J1299"/>
      <c r="K1299"/>
      <c r="L1299" s="14"/>
      <c r="M1299"/>
      <c r="N1299"/>
      <c r="O1299"/>
      <c r="P1299"/>
    </row>
    <row r="1300" spans="1:16" x14ac:dyDescent="0.25">
      <c r="A1300"/>
      <c r="B1300"/>
      <c r="C1300"/>
      <c r="D1300"/>
      <c r="E1300"/>
      <c r="F1300"/>
      <c r="G1300"/>
      <c r="H1300"/>
      <c r="I1300"/>
      <c r="J1300"/>
      <c r="K1300"/>
      <c r="L1300" s="14"/>
      <c r="M1300"/>
      <c r="N1300"/>
      <c r="O1300"/>
      <c r="P1300"/>
    </row>
    <row r="1301" spans="1:16" x14ac:dyDescent="0.25">
      <c r="A1301"/>
      <c r="B1301"/>
      <c r="C1301"/>
      <c r="D1301"/>
      <c r="E1301"/>
      <c r="F1301"/>
      <c r="G1301"/>
      <c r="H1301"/>
      <c r="I1301"/>
      <c r="J1301"/>
      <c r="K1301"/>
      <c r="L1301" s="14"/>
      <c r="M1301"/>
      <c r="N1301"/>
      <c r="O1301"/>
      <c r="P1301"/>
    </row>
    <row r="1302" spans="1:16" x14ac:dyDescent="0.25">
      <c r="A1302"/>
      <c r="B1302"/>
      <c r="C1302"/>
      <c r="D1302"/>
      <c r="E1302"/>
      <c r="F1302"/>
      <c r="G1302"/>
      <c r="H1302"/>
      <c r="I1302"/>
      <c r="J1302"/>
      <c r="K1302"/>
      <c r="L1302" s="14"/>
      <c r="M1302"/>
      <c r="N1302"/>
      <c r="O1302"/>
      <c r="P1302"/>
    </row>
    <row r="1303" spans="1:16" x14ac:dyDescent="0.25">
      <c r="A1303"/>
      <c r="B1303"/>
      <c r="C1303"/>
      <c r="D1303"/>
      <c r="E1303"/>
      <c r="F1303"/>
      <c r="G1303"/>
      <c r="H1303"/>
      <c r="I1303"/>
      <c r="J1303"/>
      <c r="K1303"/>
      <c r="L1303" s="14"/>
      <c r="M1303"/>
      <c r="N1303"/>
      <c r="O1303"/>
      <c r="P1303"/>
    </row>
    <row r="1304" spans="1:16" x14ac:dyDescent="0.25">
      <c r="A1304"/>
      <c r="B1304"/>
      <c r="C1304"/>
      <c r="D1304"/>
      <c r="E1304"/>
      <c r="F1304"/>
      <c r="G1304"/>
      <c r="H1304"/>
      <c r="I1304"/>
      <c r="J1304"/>
      <c r="K1304"/>
      <c r="L1304" s="14"/>
      <c r="M1304"/>
      <c r="N1304"/>
      <c r="O1304"/>
      <c r="P1304"/>
    </row>
    <row r="1305" spans="1:16" x14ac:dyDescent="0.25">
      <c r="A1305"/>
      <c r="B1305"/>
      <c r="C1305"/>
      <c r="D1305"/>
      <c r="E1305"/>
      <c r="F1305"/>
      <c r="G1305"/>
      <c r="H1305"/>
      <c r="I1305"/>
      <c r="J1305"/>
      <c r="K1305"/>
      <c r="L1305" s="14"/>
      <c r="M1305"/>
      <c r="N1305"/>
      <c r="O1305"/>
      <c r="P1305"/>
    </row>
    <row r="1306" spans="1:16" x14ac:dyDescent="0.25">
      <c r="A1306"/>
      <c r="B1306"/>
      <c r="C1306"/>
      <c r="D1306"/>
      <c r="E1306"/>
      <c r="F1306"/>
      <c r="G1306"/>
      <c r="H1306"/>
      <c r="I1306"/>
      <c r="J1306"/>
      <c r="K1306"/>
      <c r="L1306" s="14"/>
      <c r="M1306"/>
      <c r="N1306"/>
      <c r="O1306"/>
      <c r="P1306"/>
    </row>
    <row r="1307" spans="1:16" x14ac:dyDescent="0.25">
      <c r="A1307"/>
      <c r="B1307"/>
      <c r="C1307"/>
      <c r="D1307"/>
      <c r="E1307"/>
      <c r="F1307"/>
      <c r="G1307"/>
      <c r="H1307"/>
      <c r="I1307"/>
      <c r="J1307"/>
      <c r="K1307"/>
      <c r="L1307" s="14"/>
      <c r="M1307"/>
      <c r="N1307"/>
      <c r="O1307"/>
      <c r="P1307"/>
    </row>
    <row r="1308" spans="1:16" x14ac:dyDescent="0.25">
      <c r="A1308"/>
      <c r="B1308"/>
      <c r="C1308"/>
      <c r="D1308"/>
      <c r="E1308"/>
      <c r="F1308"/>
      <c r="G1308"/>
      <c r="H1308"/>
      <c r="I1308"/>
      <c r="J1308"/>
      <c r="K1308"/>
      <c r="L1308" s="14"/>
      <c r="M1308"/>
      <c r="N1308"/>
      <c r="O1308"/>
      <c r="P1308"/>
    </row>
    <row r="1309" spans="1:16" x14ac:dyDescent="0.25">
      <c r="A1309"/>
      <c r="B1309"/>
      <c r="C1309"/>
      <c r="D1309"/>
      <c r="E1309"/>
      <c r="F1309"/>
      <c r="G1309"/>
      <c r="H1309"/>
      <c r="I1309"/>
      <c r="J1309"/>
      <c r="K1309"/>
      <c r="L1309" s="14"/>
      <c r="M1309"/>
      <c r="N1309"/>
      <c r="O1309"/>
      <c r="P1309"/>
    </row>
    <row r="1310" spans="1:16" x14ac:dyDescent="0.25">
      <c r="A1310"/>
      <c r="B1310"/>
      <c r="C1310"/>
      <c r="D1310"/>
      <c r="E1310"/>
      <c r="F1310"/>
      <c r="G1310"/>
      <c r="H1310"/>
      <c r="I1310"/>
      <c r="J1310"/>
      <c r="K1310"/>
      <c r="L1310" s="14"/>
      <c r="M1310"/>
      <c r="N1310"/>
      <c r="O1310"/>
      <c r="P1310"/>
    </row>
    <row r="1311" spans="1:16" x14ac:dyDescent="0.25">
      <c r="A1311"/>
      <c r="B1311"/>
      <c r="C1311"/>
      <c r="D1311"/>
      <c r="E1311"/>
      <c r="F1311"/>
      <c r="G1311"/>
      <c r="H1311"/>
      <c r="I1311"/>
      <c r="J1311"/>
      <c r="K1311"/>
      <c r="L1311" s="14"/>
      <c r="M1311"/>
      <c r="N1311"/>
      <c r="O1311"/>
      <c r="P1311"/>
    </row>
    <row r="1312" spans="1:16" x14ac:dyDescent="0.25">
      <c r="A1312"/>
      <c r="B1312"/>
      <c r="C1312"/>
      <c r="D1312"/>
      <c r="E1312"/>
      <c r="F1312"/>
      <c r="G1312"/>
      <c r="H1312"/>
      <c r="I1312"/>
      <c r="J1312"/>
      <c r="K1312"/>
      <c r="L1312" s="14"/>
      <c r="M1312"/>
      <c r="N1312"/>
      <c r="O1312"/>
      <c r="P1312"/>
    </row>
    <row r="1313" spans="1:16" x14ac:dyDescent="0.25">
      <c r="A1313"/>
      <c r="B1313"/>
      <c r="C1313"/>
      <c r="D1313"/>
      <c r="E1313"/>
      <c r="F1313"/>
      <c r="G1313"/>
      <c r="H1313"/>
      <c r="I1313"/>
      <c r="J1313"/>
      <c r="K1313"/>
      <c r="L1313" s="14"/>
      <c r="M1313"/>
      <c r="N1313"/>
      <c r="O1313"/>
      <c r="P1313"/>
    </row>
    <row r="1314" spans="1:16" x14ac:dyDescent="0.25">
      <c r="A1314"/>
      <c r="B1314"/>
      <c r="C1314"/>
      <c r="D1314"/>
      <c r="E1314"/>
      <c r="F1314"/>
      <c r="G1314"/>
      <c r="H1314"/>
      <c r="I1314"/>
      <c r="J1314"/>
      <c r="K1314"/>
      <c r="L1314" s="14"/>
      <c r="M1314"/>
      <c r="N1314"/>
      <c r="O1314"/>
      <c r="P1314"/>
    </row>
    <row r="1315" spans="1:16" x14ac:dyDescent="0.25">
      <c r="A1315"/>
      <c r="B1315"/>
      <c r="C1315"/>
      <c r="D1315"/>
      <c r="E1315"/>
      <c r="F1315"/>
      <c r="G1315"/>
      <c r="H1315"/>
      <c r="I1315"/>
      <c r="J1315"/>
      <c r="K1315"/>
      <c r="L1315" s="14"/>
      <c r="M1315"/>
      <c r="N1315"/>
      <c r="O1315"/>
      <c r="P1315"/>
    </row>
    <row r="1316" spans="1:16" x14ac:dyDescent="0.25">
      <c r="A1316"/>
      <c r="B1316"/>
      <c r="C1316"/>
      <c r="D1316"/>
      <c r="E1316"/>
      <c r="F1316"/>
      <c r="G1316"/>
      <c r="H1316"/>
      <c r="I1316"/>
      <c r="J1316"/>
      <c r="K1316"/>
      <c r="L1316" s="14"/>
      <c r="M1316"/>
      <c r="N1316"/>
      <c r="O1316"/>
      <c r="P1316"/>
    </row>
    <row r="1317" spans="1:16" x14ac:dyDescent="0.25">
      <c r="A1317"/>
      <c r="B1317"/>
      <c r="C1317"/>
      <c r="D1317"/>
      <c r="E1317"/>
      <c r="F1317"/>
      <c r="G1317"/>
      <c r="H1317"/>
      <c r="I1317"/>
      <c r="J1317"/>
      <c r="K1317"/>
      <c r="L1317" s="14"/>
      <c r="M1317"/>
      <c r="N1317"/>
      <c r="O1317"/>
      <c r="P1317"/>
    </row>
    <row r="1318" spans="1:16" x14ac:dyDescent="0.25">
      <c r="A1318"/>
      <c r="B1318"/>
      <c r="C1318"/>
      <c r="D1318"/>
      <c r="E1318"/>
      <c r="F1318"/>
      <c r="G1318"/>
      <c r="H1318"/>
      <c r="I1318"/>
      <c r="J1318"/>
      <c r="K1318"/>
      <c r="L1318" s="14"/>
      <c r="M1318"/>
      <c r="N1318"/>
      <c r="O1318"/>
      <c r="P1318"/>
    </row>
    <row r="1319" spans="1:16" x14ac:dyDescent="0.25">
      <c r="A1319"/>
      <c r="B1319"/>
      <c r="C1319"/>
      <c r="D1319"/>
      <c r="E1319"/>
      <c r="F1319"/>
      <c r="G1319"/>
      <c r="H1319"/>
      <c r="I1319"/>
      <c r="J1319"/>
      <c r="K1319"/>
      <c r="L1319" s="14"/>
      <c r="M1319"/>
      <c r="N1319"/>
      <c r="O1319"/>
      <c r="P1319"/>
    </row>
    <row r="1320" spans="1:16" x14ac:dyDescent="0.25">
      <c r="A1320"/>
      <c r="B1320"/>
      <c r="C1320"/>
      <c r="D1320"/>
      <c r="E1320"/>
      <c r="F1320"/>
      <c r="G1320"/>
      <c r="H1320"/>
      <c r="I1320"/>
      <c r="J1320"/>
      <c r="K1320"/>
      <c r="L1320" s="14"/>
      <c r="M1320"/>
      <c r="N1320"/>
      <c r="O1320"/>
      <c r="P1320"/>
    </row>
    <row r="1321" spans="1:16" x14ac:dyDescent="0.25">
      <c r="A1321"/>
      <c r="B1321"/>
      <c r="C1321"/>
      <c r="D1321"/>
      <c r="E1321"/>
      <c r="F1321"/>
      <c r="G1321"/>
      <c r="H1321"/>
      <c r="I1321"/>
      <c r="J1321"/>
      <c r="K1321"/>
      <c r="L1321" s="14"/>
      <c r="M1321"/>
      <c r="N1321"/>
      <c r="O1321"/>
      <c r="P1321"/>
    </row>
    <row r="1322" spans="1:16" x14ac:dyDescent="0.25">
      <c r="A1322"/>
      <c r="B1322"/>
      <c r="C1322"/>
      <c r="D1322"/>
      <c r="E1322"/>
      <c r="F1322"/>
      <c r="G1322"/>
      <c r="H1322"/>
      <c r="I1322"/>
      <c r="J1322"/>
      <c r="K1322"/>
      <c r="L1322" s="14"/>
      <c r="M1322"/>
      <c r="N1322"/>
      <c r="O1322"/>
      <c r="P1322"/>
    </row>
    <row r="1323" spans="1:16" x14ac:dyDescent="0.25">
      <c r="A1323"/>
      <c r="B1323"/>
      <c r="C1323"/>
      <c r="D1323"/>
      <c r="E1323"/>
      <c r="F1323"/>
      <c r="G1323"/>
      <c r="H1323"/>
      <c r="I1323"/>
      <c r="J1323"/>
      <c r="K1323"/>
      <c r="L1323" s="14"/>
      <c r="M1323"/>
      <c r="N1323"/>
      <c r="O1323"/>
      <c r="P1323"/>
    </row>
    <row r="1324" spans="1:16" x14ac:dyDescent="0.25">
      <c r="A1324"/>
      <c r="B1324"/>
      <c r="C1324"/>
      <c r="D1324"/>
      <c r="E1324"/>
      <c r="F1324"/>
      <c r="G1324"/>
      <c r="H1324"/>
      <c r="I1324"/>
      <c r="J1324"/>
      <c r="K1324"/>
      <c r="L1324" s="14"/>
      <c r="M1324"/>
      <c r="N1324"/>
      <c r="O1324"/>
      <c r="P1324"/>
    </row>
    <row r="1325" spans="1:16" x14ac:dyDescent="0.25">
      <c r="A1325"/>
      <c r="B1325"/>
      <c r="C1325"/>
      <c r="D1325"/>
      <c r="E1325"/>
      <c r="F1325"/>
      <c r="G1325"/>
      <c r="H1325"/>
      <c r="I1325"/>
      <c r="J1325"/>
      <c r="K1325"/>
      <c r="L1325" s="14"/>
      <c r="M1325"/>
      <c r="N1325"/>
      <c r="O1325"/>
      <c r="P1325"/>
    </row>
    <row r="1326" spans="1:16" x14ac:dyDescent="0.25">
      <c r="A1326"/>
      <c r="B1326"/>
      <c r="C1326"/>
      <c r="D1326"/>
      <c r="E1326"/>
      <c r="F1326"/>
      <c r="G1326"/>
      <c r="H1326"/>
      <c r="I1326"/>
      <c r="J1326"/>
      <c r="K1326"/>
      <c r="L1326" s="14"/>
      <c r="M1326"/>
      <c r="N1326"/>
      <c r="O1326"/>
      <c r="P1326"/>
    </row>
    <row r="1327" spans="1:16" x14ac:dyDescent="0.25">
      <c r="A1327"/>
      <c r="B1327"/>
      <c r="C1327"/>
      <c r="D1327"/>
      <c r="E1327"/>
      <c r="F1327"/>
      <c r="G1327"/>
      <c r="H1327"/>
      <c r="I1327"/>
      <c r="J1327"/>
      <c r="K1327"/>
      <c r="L1327" s="14"/>
      <c r="M1327"/>
      <c r="N1327"/>
      <c r="O1327"/>
      <c r="P1327"/>
    </row>
    <row r="1328" spans="1:16" x14ac:dyDescent="0.25">
      <c r="A1328"/>
      <c r="B1328"/>
      <c r="C1328"/>
      <c r="D1328"/>
      <c r="E1328"/>
      <c r="F1328"/>
      <c r="G1328"/>
      <c r="H1328"/>
      <c r="I1328"/>
      <c r="J1328"/>
      <c r="K1328"/>
      <c r="L1328" s="14"/>
      <c r="M1328"/>
      <c r="N1328"/>
      <c r="O1328"/>
      <c r="P1328"/>
    </row>
    <row r="1329" spans="1:16" x14ac:dyDescent="0.25">
      <c r="A1329"/>
      <c r="B1329"/>
      <c r="C1329"/>
      <c r="D1329"/>
      <c r="E1329"/>
      <c r="F1329"/>
      <c r="G1329"/>
      <c r="H1329"/>
      <c r="I1329"/>
      <c r="J1329"/>
      <c r="K1329"/>
      <c r="L1329" s="14"/>
      <c r="M1329"/>
      <c r="N1329"/>
      <c r="O1329"/>
      <c r="P1329"/>
    </row>
    <row r="1330" spans="1:16" x14ac:dyDescent="0.25">
      <c r="A1330"/>
      <c r="B1330"/>
      <c r="C1330"/>
      <c r="D1330"/>
      <c r="E1330"/>
      <c r="F1330"/>
      <c r="G1330"/>
      <c r="H1330"/>
      <c r="I1330"/>
      <c r="J1330"/>
      <c r="K1330"/>
      <c r="L1330" s="14"/>
      <c r="M1330"/>
      <c r="N1330"/>
      <c r="O1330"/>
      <c r="P1330"/>
    </row>
    <row r="1331" spans="1:16" x14ac:dyDescent="0.25">
      <c r="A1331"/>
      <c r="B1331"/>
      <c r="C1331"/>
      <c r="D1331"/>
      <c r="E1331"/>
      <c r="F1331"/>
      <c r="G1331"/>
      <c r="H1331"/>
      <c r="I1331"/>
      <c r="J1331"/>
      <c r="K1331"/>
      <c r="L1331" s="14"/>
      <c r="M1331"/>
      <c r="N1331"/>
      <c r="O1331"/>
      <c r="P1331"/>
    </row>
    <row r="1332" spans="1:16" x14ac:dyDescent="0.25">
      <c r="A1332"/>
      <c r="B1332"/>
      <c r="C1332"/>
      <c r="D1332"/>
      <c r="E1332"/>
      <c r="F1332"/>
      <c r="G1332"/>
      <c r="H1332"/>
      <c r="I1332"/>
      <c r="J1332"/>
      <c r="K1332"/>
      <c r="L1332" s="14"/>
      <c r="M1332"/>
      <c r="N1332"/>
      <c r="O1332"/>
      <c r="P1332"/>
    </row>
    <row r="1333" spans="1:16" x14ac:dyDescent="0.25">
      <c r="A1333"/>
      <c r="B1333"/>
      <c r="C1333"/>
      <c r="D1333"/>
      <c r="E1333"/>
      <c r="F1333"/>
      <c r="G1333"/>
      <c r="H1333"/>
      <c r="I1333"/>
      <c r="J1333"/>
      <c r="K1333"/>
      <c r="L1333" s="14"/>
      <c r="M1333"/>
      <c r="N1333"/>
      <c r="O1333"/>
      <c r="P1333"/>
    </row>
    <row r="1334" spans="1:16" x14ac:dyDescent="0.25">
      <c r="A1334"/>
      <c r="B1334"/>
      <c r="C1334"/>
      <c r="D1334"/>
      <c r="E1334"/>
      <c r="F1334"/>
      <c r="G1334"/>
      <c r="H1334"/>
      <c r="I1334"/>
      <c r="J1334"/>
      <c r="K1334"/>
      <c r="L1334" s="14"/>
      <c r="M1334"/>
      <c r="N1334"/>
      <c r="O1334"/>
      <c r="P1334"/>
    </row>
    <row r="1335" spans="1:16" x14ac:dyDescent="0.25">
      <c r="A1335"/>
      <c r="B1335"/>
      <c r="C1335"/>
      <c r="D1335"/>
      <c r="E1335"/>
      <c r="F1335"/>
      <c r="G1335"/>
      <c r="H1335"/>
      <c r="I1335"/>
      <c r="J1335"/>
      <c r="K1335"/>
      <c r="L1335" s="14"/>
      <c r="M1335"/>
      <c r="N1335"/>
      <c r="O1335"/>
      <c r="P1335"/>
    </row>
    <row r="1336" spans="1:16" x14ac:dyDescent="0.25">
      <c r="A1336"/>
      <c r="B1336"/>
      <c r="C1336"/>
      <c r="D1336"/>
      <c r="E1336"/>
      <c r="F1336"/>
      <c r="G1336"/>
      <c r="H1336"/>
      <c r="I1336"/>
      <c r="J1336"/>
      <c r="K1336"/>
      <c r="L1336" s="14"/>
      <c r="M1336"/>
      <c r="N1336"/>
      <c r="O1336"/>
      <c r="P1336"/>
    </row>
    <row r="1337" spans="1:16" x14ac:dyDescent="0.25">
      <c r="A1337"/>
      <c r="B1337"/>
      <c r="C1337"/>
      <c r="D1337"/>
      <c r="E1337"/>
      <c r="F1337"/>
      <c r="G1337"/>
      <c r="H1337"/>
      <c r="I1337"/>
      <c r="J1337"/>
      <c r="K1337"/>
      <c r="L1337" s="14"/>
      <c r="M1337"/>
      <c r="N1337"/>
      <c r="O1337"/>
      <c r="P1337"/>
    </row>
    <row r="1338" spans="1:16" x14ac:dyDescent="0.25">
      <c r="A1338"/>
      <c r="B1338"/>
      <c r="C1338"/>
      <c r="D1338"/>
      <c r="E1338"/>
      <c r="F1338"/>
      <c r="G1338"/>
      <c r="H1338"/>
      <c r="I1338"/>
      <c r="J1338"/>
      <c r="K1338"/>
      <c r="L1338" s="14"/>
      <c r="M1338"/>
      <c r="N1338"/>
      <c r="O1338"/>
      <c r="P1338"/>
    </row>
    <row r="1339" spans="1:16" x14ac:dyDescent="0.25">
      <c r="A1339"/>
      <c r="B1339"/>
      <c r="C1339"/>
      <c r="D1339"/>
      <c r="E1339"/>
      <c r="F1339"/>
      <c r="G1339"/>
      <c r="H1339"/>
      <c r="I1339"/>
      <c r="J1339"/>
      <c r="K1339"/>
      <c r="L1339" s="14"/>
      <c r="M1339"/>
      <c r="N1339"/>
      <c r="O1339"/>
      <c r="P1339"/>
    </row>
    <row r="1340" spans="1:16" x14ac:dyDescent="0.25">
      <c r="A1340"/>
      <c r="B1340"/>
      <c r="C1340"/>
      <c r="D1340"/>
      <c r="E1340"/>
      <c r="F1340"/>
      <c r="G1340"/>
      <c r="H1340"/>
      <c r="I1340"/>
      <c r="J1340"/>
      <c r="K1340"/>
      <c r="L1340" s="14"/>
      <c r="M1340"/>
      <c r="N1340"/>
      <c r="O1340"/>
      <c r="P1340"/>
    </row>
    <row r="1341" spans="1:16" x14ac:dyDescent="0.25">
      <c r="A1341"/>
      <c r="B1341"/>
      <c r="C1341"/>
      <c r="D1341"/>
      <c r="E1341"/>
      <c r="F1341"/>
      <c r="G1341"/>
      <c r="H1341"/>
      <c r="I1341"/>
      <c r="J1341"/>
      <c r="K1341"/>
      <c r="L1341" s="14"/>
      <c r="M1341"/>
      <c r="N1341"/>
      <c r="O1341"/>
      <c r="P1341"/>
    </row>
    <row r="1342" spans="1:16" x14ac:dyDescent="0.25">
      <c r="A1342"/>
      <c r="B1342"/>
      <c r="C1342"/>
      <c r="D1342"/>
      <c r="E1342"/>
      <c r="F1342"/>
      <c r="G1342"/>
      <c r="H1342"/>
      <c r="I1342"/>
      <c r="J1342"/>
      <c r="K1342"/>
      <c r="L1342" s="14"/>
      <c r="M1342"/>
      <c r="N1342"/>
      <c r="O1342"/>
      <c r="P1342"/>
    </row>
    <row r="1343" spans="1:16" x14ac:dyDescent="0.25">
      <c r="A1343"/>
      <c r="B1343"/>
      <c r="C1343"/>
      <c r="D1343"/>
      <c r="E1343"/>
      <c r="F1343"/>
      <c r="G1343"/>
      <c r="H1343"/>
      <c r="I1343"/>
      <c r="J1343"/>
      <c r="K1343"/>
      <c r="L1343" s="14"/>
      <c r="M1343"/>
      <c r="N1343"/>
      <c r="O1343"/>
      <c r="P1343"/>
    </row>
    <row r="1344" spans="1:16" x14ac:dyDescent="0.25">
      <c r="A1344"/>
      <c r="B1344"/>
      <c r="C1344"/>
      <c r="D1344"/>
      <c r="E1344"/>
      <c r="F1344"/>
      <c r="G1344"/>
      <c r="H1344"/>
      <c r="I1344"/>
      <c r="J1344"/>
      <c r="K1344"/>
      <c r="L1344" s="14"/>
      <c r="M1344"/>
      <c r="N1344"/>
      <c r="O1344"/>
      <c r="P1344"/>
    </row>
    <row r="1345" spans="1:16" x14ac:dyDescent="0.25">
      <c r="A1345"/>
      <c r="B1345"/>
      <c r="C1345"/>
      <c r="D1345"/>
      <c r="E1345"/>
      <c r="F1345"/>
      <c r="G1345"/>
      <c r="H1345"/>
      <c r="I1345"/>
      <c r="J1345"/>
      <c r="K1345"/>
      <c r="L1345" s="14"/>
      <c r="M1345"/>
      <c r="N1345"/>
      <c r="O1345"/>
      <c r="P1345"/>
    </row>
    <row r="1346" spans="1:16" x14ac:dyDescent="0.25">
      <c r="A1346"/>
      <c r="B1346"/>
      <c r="C1346"/>
      <c r="D1346"/>
      <c r="E1346"/>
      <c r="F1346"/>
      <c r="G1346"/>
      <c r="H1346"/>
      <c r="I1346"/>
      <c r="J1346"/>
      <c r="K1346"/>
      <c r="L1346" s="14"/>
      <c r="M1346"/>
      <c r="N1346"/>
      <c r="O1346"/>
      <c r="P1346"/>
    </row>
    <row r="1347" spans="1:16" x14ac:dyDescent="0.25">
      <c r="A1347"/>
      <c r="B1347"/>
      <c r="C1347"/>
      <c r="D1347"/>
      <c r="E1347"/>
      <c r="F1347"/>
      <c r="G1347"/>
      <c r="H1347"/>
      <c r="I1347"/>
      <c r="J1347"/>
      <c r="K1347"/>
      <c r="L1347" s="14"/>
      <c r="M1347"/>
      <c r="N1347"/>
      <c r="O1347"/>
      <c r="P1347"/>
    </row>
    <row r="1348" spans="1:16" x14ac:dyDescent="0.25">
      <c r="A1348"/>
      <c r="B1348"/>
      <c r="C1348"/>
      <c r="D1348"/>
      <c r="E1348"/>
      <c r="F1348"/>
      <c r="G1348"/>
      <c r="H1348"/>
      <c r="I1348"/>
      <c r="J1348"/>
      <c r="K1348"/>
      <c r="L1348" s="14"/>
      <c r="M1348"/>
      <c r="N1348"/>
      <c r="O1348"/>
      <c r="P1348"/>
    </row>
    <row r="1349" spans="1:16" x14ac:dyDescent="0.25">
      <c r="A1349"/>
      <c r="B1349"/>
      <c r="C1349"/>
      <c r="D1349"/>
      <c r="E1349"/>
      <c r="F1349"/>
      <c r="G1349"/>
      <c r="H1349"/>
      <c r="I1349"/>
      <c r="J1349"/>
      <c r="K1349"/>
      <c r="L1349" s="14"/>
      <c r="M1349"/>
      <c r="N1349"/>
      <c r="O1349"/>
      <c r="P1349"/>
    </row>
    <row r="1350" spans="1:16" x14ac:dyDescent="0.25">
      <c r="A1350"/>
      <c r="B1350"/>
      <c r="C1350"/>
      <c r="D1350"/>
      <c r="E1350"/>
      <c r="F1350"/>
      <c r="G1350"/>
      <c r="H1350"/>
      <c r="I1350"/>
      <c r="J1350"/>
      <c r="K1350"/>
      <c r="L1350" s="14"/>
      <c r="M1350"/>
      <c r="N1350"/>
      <c r="O1350"/>
      <c r="P1350"/>
    </row>
    <row r="1351" spans="1:16" x14ac:dyDescent="0.25">
      <c r="A1351"/>
      <c r="B1351"/>
      <c r="C1351"/>
      <c r="D1351"/>
      <c r="E1351"/>
      <c r="F1351"/>
      <c r="G1351"/>
      <c r="H1351"/>
      <c r="I1351"/>
      <c r="J1351"/>
      <c r="K1351"/>
      <c r="L1351" s="14"/>
      <c r="M1351"/>
      <c r="N1351"/>
      <c r="O1351"/>
      <c r="P1351"/>
    </row>
    <row r="1352" spans="1:16" x14ac:dyDescent="0.25">
      <c r="A1352"/>
      <c r="B1352"/>
      <c r="C1352"/>
      <c r="D1352"/>
      <c r="E1352"/>
      <c r="F1352"/>
      <c r="G1352"/>
      <c r="H1352"/>
      <c r="I1352"/>
      <c r="J1352"/>
      <c r="K1352"/>
      <c r="L1352" s="14"/>
      <c r="M1352"/>
      <c r="N1352"/>
      <c r="O1352"/>
      <c r="P1352"/>
    </row>
    <row r="1353" spans="1:16" x14ac:dyDescent="0.25">
      <c r="A1353"/>
      <c r="B1353"/>
      <c r="C1353"/>
      <c r="D1353"/>
      <c r="E1353"/>
      <c r="F1353"/>
      <c r="G1353"/>
      <c r="H1353"/>
      <c r="I1353"/>
      <c r="J1353"/>
      <c r="K1353"/>
      <c r="L1353" s="14"/>
      <c r="M1353"/>
      <c r="N1353"/>
      <c r="O1353"/>
      <c r="P1353"/>
    </row>
    <row r="1354" spans="1:16" x14ac:dyDescent="0.25">
      <c r="A1354"/>
      <c r="B1354"/>
      <c r="C1354"/>
      <c r="D1354"/>
      <c r="E1354"/>
      <c r="F1354"/>
      <c r="G1354"/>
      <c r="H1354"/>
      <c r="I1354"/>
      <c r="J1354"/>
      <c r="K1354"/>
      <c r="L1354" s="14"/>
      <c r="M1354"/>
      <c r="N1354"/>
      <c r="O1354"/>
      <c r="P1354"/>
    </row>
    <row r="1355" spans="1:16" x14ac:dyDescent="0.25">
      <c r="A1355"/>
      <c r="B1355"/>
      <c r="C1355"/>
      <c r="D1355"/>
      <c r="E1355"/>
      <c r="F1355"/>
      <c r="G1355"/>
      <c r="H1355"/>
      <c r="I1355"/>
      <c r="J1355"/>
      <c r="K1355"/>
      <c r="L1355" s="14"/>
      <c r="M1355"/>
      <c r="N1355"/>
      <c r="O1355"/>
      <c r="P1355"/>
    </row>
    <row r="1356" spans="1:16" x14ac:dyDescent="0.25">
      <c r="A1356"/>
      <c r="B1356"/>
      <c r="C1356"/>
      <c r="D1356"/>
      <c r="E1356"/>
      <c r="F1356"/>
      <c r="G1356"/>
      <c r="H1356"/>
      <c r="I1356"/>
      <c r="J1356"/>
      <c r="K1356"/>
      <c r="L1356" s="14"/>
      <c r="M1356"/>
      <c r="N1356"/>
      <c r="O1356"/>
      <c r="P1356"/>
    </row>
    <row r="1357" spans="1:16" x14ac:dyDescent="0.25">
      <c r="A1357"/>
      <c r="B1357"/>
      <c r="C1357"/>
      <c r="D1357"/>
      <c r="E1357"/>
      <c r="F1357"/>
      <c r="G1357"/>
      <c r="H1357"/>
      <c r="I1357"/>
      <c r="J1357"/>
      <c r="K1357"/>
      <c r="L1357" s="14"/>
      <c r="M1357"/>
      <c r="N1357"/>
      <c r="O1357"/>
      <c r="P1357"/>
    </row>
    <row r="1358" spans="1:16" x14ac:dyDescent="0.25">
      <c r="A1358"/>
      <c r="B1358"/>
      <c r="C1358"/>
      <c r="D1358"/>
      <c r="E1358"/>
      <c r="F1358"/>
      <c r="G1358"/>
      <c r="H1358"/>
      <c r="I1358"/>
      <c r="J1358"/>
      <c r="K1358"/>
      <c r="L1358" s="14"/>
      <c r="M1358"/>
      <c r="N1358"/>
      <c r="O1358"/>
      <c r="P1358"/>
    </row>
    <row r="1359" spans="1:16" x14ac:dyDescent="0.25">
      <c r="A1359"/>
      <c r="B1359"/>
      <c r="C1359"/>
      <c r="D1359"/>
      <c r="E1359"/>
      <c r="F1359"/>
      <c r="G1359"/>
      <c r="H1359"/>
      <c r="I1359"/>
      <c r="J1359"/>
      <c r="K1359"/>
      <c r="L1359" s="14"/>
      <c r="M1359"/>
      <c r="N1359"/>
      <c r="O1359"/>
      <c r="P1359"/>
    </row>
    <row r="1360" spans="1:16" x14ac:dyDescent="0.25">
      <c r="A1360"/>
      <c r="B1360"/>
      <c r="C1360"/>
      <c r="D1360"/>
      <c r="E1360"/>
      <c r="F1360"/>
      <c r="G1360"/>
      <c r="H1360"/>
      <c r="I1360"/>
      <c r="J1360"/>
      <c r="K1360"/>
      <c r="L1360" s="14"/>
      <c r="M1360"/>
      <c r="N1360"/>
      <c r="O1360"/>
      <c r="P1360"/>
    </row>
    <row r="1361" spans="1:16" x14ac:dyDescent="0.25">
      <c r="A1361"/>
      <c r="B1361"/>
      <c r="C1361"/>
      <c r="D1361"/>
      <c r="E1361"/>
      <c r="F1361"/>
      <c r="G1361"/>
      <c r="H1361"/>
      <c r="I1361"/>
      <c r="J1361"/>
      <c r="K1361"/>
      <c r="L1361" s="14"/>
      <c r="M1361"/>
      <c r="N1361"/>
      <c r="O1361"/>
      <c r="P1361"/>
    </row>
    <row r="1362" spans="1:16" x14ac:dyDescent="0.25">
      <c r="A1362"/>
      <c r="B1362"/>
      <c r="C1362"/>
      <c r="D1362"/>
      <c r="E1362"/>
      <c r="F1362"/>
      <c r="G1362"/>
      <c r="H1362"/>
      <c r="I1362"/>
      <c r="J1362"/>
      <c r="K1362"/>
      <c r="L1362" s="14"/>
      <c r="M1362"/>
      <c r="N1362"/>
      <c r="O1362"/>
      <c r="P1362"/>
    </row>
    <row r="1363" spans="1:16" x14ac:dyDescent="0.25">
      <c r="A1363"/>
      <c r="B1363"/>
      <c r="C1363"/>
      <c r="D1363"/>
      <c r="E1363"/>
      <c r="F1363"/>
      <c r="G1363"/>
      <c r="H1363"/>
      <c r="I1363"/>
      <c r="J1363"/>
      <c r="K1363"/>
      <c r="L1363" s="14"/>
      <c r="M1363"/>
      <c r="N1363"/>
      <c r="O1363"/>
      <c r="P1363"/>
    </row>
    <row r="1364" spans="1:16" x14ac:dyDescent="0.25">
      <c r="A1364"/>
      <c r="B1364"/>
      <c r="C1364"/>
      <c r="D1364"/>
      <c r="E1364"/>
      <c r="F1364"/>
      <c r="G1364"/>
      <c r="H1364"/>
      <c r="I1364"/>
      <c r="J1364"/>
      <c r="K1364"/>
      <c r="L1364" s="14"/>
      <c r="M1364"/>
      <c r="N1364"/>
      <c r="O1364"/>
      <c r="P1364"/>
    </row>
    <row r="1365" spans="1:16" x14ac:dyDescent="0.25">
      <c r="A1365"/>
      <c r="B1365"/>
      <c r="C1365"/>
      <c r="D1365"/>
      <c r="E1365"/>
      <c r="F1365"/>
      <c r="G1365"/>
      <c r="H1365"/>
      <c r="I1365"/>
      <c r="J1365"/>
      <c r="K1365"/>
      <c r="L1365" s="14"/>
      <c r="M1365"/>
      <c r="N1365"/>
      <c r="O1365"/>
      <c r="P1365"/>
    </row>
    <row r="1366" spans="1:16" x14ac:dyDescent="0.25">
      <c r="A1366"/>
      <c r="B1366"/>
      <c r="C1366"/>
      <c r="D1366"/>
      <c r="E1366"/>
      <c r="F1366"/>
      <c r="G1366"/>
      <c r="H1366"/>
      <c r="I1366"/>
      <c r="J1366"/>
      <c r="K1366"/>
      <c r="L1366" s="14"/>
      <c r="M1366"/>
      <c r="N1366"/>
      <c r="O1366"/>
      <c r="P1366"/>
    </row>
    <row r="1367" spans="1:16" x14ac:dyDescent="0.25">
      <c r="A1367"/>
      <c r="B1367"/>
      <c r="C1367"/>
      <c r="D1367"/>
      <c r="E1367"/>
      <c r="F1367"/>
      <c r="G1367"/>
      <c r="H1367"/>
      <c r="I1367"/>
      <c r="J1367"/>
      <c r="K1367"/>
      <c r="L1367" s="14"/>
      <c r="M1367"/>
      <c r="N1367"/>
      <c r="O1367"/>
      <c r="P1367"/>
    </row>
    <row r="1368" spans="1:16" x14ac:dyDescent="0.25">
      <c r="A1368"/>
      <c r="B1368"/>
      <c r="C1368"/>
      <c r="D1368"/>
      <c r="E1368"/>
      <c r="F1368"/>
      <c r="G1368"/>
      <c r="H1368"/>
      <c r="I1368"/>
      <c r="J1368"/>
      <c r="K1368"/>
      <c r="L1368" s="14"/>
      <c r="M1368"/>
      <c r="N1368"/>
      <c r="O1368"/>
      <c r="P1368"/>
    </row>
    <row r="1369" spans="1:16" x14ac:dyDescent="0.25">
      <c r="A1369"/>
      <c r="B1369"/>
      <c r="C1369"/>
      <c r="D1369"/>
      <c r="E1369"/>
      <c r="F1369"/>
      <c r="G1369"/>
      <c r="H1369"/>
      <c r="I1369"/>
      <c r="J1369"/>
      <c r="K1369"/>
      <c r="L1369" s="14"/>
      <c r="M1369"/>
      <c r="N1369"/>
      <c r="O1369"/>
      <c r="P1369"/>
    </row>
    <row r="1370" spans="1:16" x14ac:dyDescent="0.25">
      <c r="A1370"/>
      <c r="B1370"/>
      <c r="C1370"/>
      <c r="D1370"/>
      <c r="E1370"/>
      <c r="F1370"/>
      <c r="G1370"/>
      <c r="H1370"/>
      <c r="I1370"/>
      <c r="J1370"/>
      <c r="K1370"/>
      <c r="L1370" s="14"/>
      <c r="M1370"/>
      <c r="N1370"/>
      <c r="O1370"/>
      <c r="P1370"/>
    </row>
    <row r="1371" spans="1:16" x14ac:dyDescent="0.25">
      <c r="A1371"/>
      <c r="B1371"/>
      <c r="C1371"/>
      <c r="D1371"/>
      <c r="E1371"/>
      <c r="F1371"/>
      <c r="G1371"/>
      <c r="H1371"/>
      <c r="I1371"/>
      <c r="J1371"/>
      <c r="K1371"/>
      <c r="L1371" s="14"/>
      <c r="M1371"/>
      <c r="N1371"/>
      <c r="O1371"/>
      <c r="P1371"/>
    </row>
    <row r="1372" spans="1:16" x14ac:dyDescent="0.25">
      <c r="A1372"/>
      <c r="B1372"/>
      <c r="C1372"/>
      <c r="D1372"/>
      <c r="E1372"/>
      <c r="F1372"/>
      <c r="G1372"/>
      <c r="H1372"/>
      <c r="I1372"/>
      <c r="J1372"/>
      <c r="K1372"/>
      <c r="L1372" s="14"/>
      <c r="M1372"/>
      <c r="N1372"/>
      <c r="O1372"/>
      <c r="P1372"/>
    </row>
    <row r="1373" spans="1:16" x14ac:dyDescent="0.25">
      <c r="A1373"/>
      <c r="B1373"/>
      <c r="C1373"/>
      <c r="D1373"/>
      <c r="E1373"/>
      <c r="F1373"/>
      <c r="G1373"/>
      <c r="H1373"/>
      <c r="I1373"/>
      <c r="J1373"/>
      <c r="K1373"/>
      <c r="L1373" s="14"/>
      <c r="M1373"/>
      <c r="N1373"/>
      <c r="O1373"/>
      <c r="P1373"/>
    </row>
    <row r="1374" spans="1:16" x14ac:dyDescent="0.25">
      <c r="A1374"/>
      <c r="B1374"/>
      <c r="C1374"/>
      <c r="D1374"/>
      <c r="E1374"/>
      <c r="F1374"/>
      <c r="G1374"/>
      <c r="H1374"/>
      <c r="I1374"/>
      <c r="J1374"/>
      <c r="K1374"/>
      <c r="L1374" s="14"/>
      <c r="M1374"/>
      <c r="N1374"/>
      <c r="O1374"/>
      <c r="P1374"/>
    </row>
    <row r="1375" spans="1:16" x14ac:dyDescent="0.25">
      <c r="A1375"/>
      <c r="B1375"/>
      <c r="C1375"/>
      <c r="D1375"/>
      <c r="E1375"/>
      <c r="F1375"/>
      <c r="G1375"/>
      <c r="H1375"/>
      <c r="I1375"/>
      <c r="J1375"/>
      <c r="K1375"/>
      <c r="L1375" s="14"/>
      <c r="M1375"/>
      <c r="N1375"/>
      <c r="O1375"/>
      <c r="P1375"/>
    </row>
    <row r="1376" spans="1:16" x14ac:dyDescent="0.25">
      <c r="A1376"/>
      <c r="B1376"/>
      <c r="C1376"/>
      <c r="D1376"/>
      <c r="E1376"/>
      <c r="F1376"/>
      <c r="G1376"/>
      <c r="H1376"/>
      <c r="I1376"/>
      <c r="J1376"/>
      <c r="K1376"/>
      <c r="L1376" s="14"/>
      <c r="M1376"/>
      <c r="N1376"/>
      <c r="O1376"/>
      <c r="P1376"/>
    </row>
    <row r="1377" spans="1:16" x14ac:dyDescent="0.25">
      <c r="A1377"/>
      <c r="B1377"/>
      <c r="C1377"/>
      <c r="D1377"/>
      <c r="E1377"/>
      <c r="F1377"/>
      <c r="G1377"/>
      <c r="H1377"/>
      <c r="I1377"/>
      <c r="J1377"/>
      <c r="K1377"/>
      <c r="L1377" s="14"/>
      <c r="M1377"/>
      <c r="N1377"/>
      <c r="O1377"/>
      <c r="P1377"/>
    </row>
    <row r="1378" spans="1:16" x14ac:dyDescent="0.25">
      <c r="A1378"/>
      <c r="B1378"/>
      <c r="C1378"/>
      <c r="D1378"/>
      <c r="E1378"/>
      <c r="F1378"/>
      <c r="G1378"/>
      <c r="H1378"/>
      <c r="I1378"/>
      <c r="J1378"/>
      <c r="K1378"/>
      <c r="L1378" s="14"/>
      <c r="M1378"/>
      <c r="N1378"/>
      <c r="O1378"/>
      <c r="P1378"/>
    </row>
    <row r="1379" spans="1:16" x14ac:dyDescent="0.25">
      <c r="A1379"/>
      <c r="B1379"/>
      <c r="C1379"/>
      <c r="D1379"/>
      <c r="E1379"/>
      <c r="F1379"/>
      <c r="G1379"/>
      <c r="H1379"/>
      <c r="I1379"/>
      <c r="J1379"/>
      <c r="K1379"/>
      <c r="L1379" s="14"/>
      <c r="M1379"/>
      <c r="N1379"/>
      <c r="O1379"/>
      <c r="P1379"/>
    </row>
    <row r="1380" spans="1:16" x14ac:dyDescent="0.25">
      <c r="A1380"/>
      <c r="B1380"/>
      <c r="C1380"/>
      <c r="D1380"/>
      <c r="E1380"/>
      <c r="F1380"/>
      <c r="G1380"/>
      <c r="H1380"/>
      <c r="I1380"/>
      <c r="J1380"/>
      <c r="K1380"/>
      <c r="L1380" s="14"/>
      <c r="M1380"/>
      <c r="N1380"/>
      <c r="O1380"/>
      <c r="P1380"/>
    </row>
    <row r="1381" spans="1:16" x14ac:dyDescent="0.25">
      <c r="A1381"/>
      <c r="B1381"/>
      <c r="C1381"/>
      <c r="D1381"/>
      <c r="E1381"/>
      <c r="F1381"/>
      <c r="G1381"/>
      <c r="H1381"/>
      <c r="I1381"/>
      <c r="J1381"/>
      <c r="K1381"/>
      <c r="L1381" s="14"/>
      <c r="M1381"/>
      <c r="N1381"/>
      <c r="O1381"/>
      <c r="P1381"/>
    </row>
    <row r="1382" spans="1:16" x14ac:dyDescent="0.25">
      <c r="A1382"/>
      <c r="B1382"/>
      <c r="C1382"/>
      <c r="D1382"/>
      <c r="E1382"/>
      <c r="F1382"/>
      <c r="G1382"/>
      <c r="H1382"/>
      <c r="I1382"/>
      <c r="J1382"/>
      <c r="K1382"/>
      <c r="L1382" s="14"/>
      <c r="M1382"/>
      <c r="N1382"/>
      <c r="O1382"/>
      <c r="P1382"/>
    </row>
    <row r="1383" spans="1:16" x14ac:dyDescent="0.25">
      <c r="A1383"/>
      <c r="B1383"/>
      <c r="C1383"/>
      <c r="D1383"/>
      <c r="E1383"/>
      <c r="F1383"/>
      <c r="G1383"/>
      <c r="H1383"/>
      <c r="I1383"/>
      <c r="J1383"/>
      <c r="K1383"/>
      <c r="L1383" s="14"/>
      <c r="M1383"/>
      <c r="N1383"/>
      <c r="O1383"/>
      <c r="P1383"/>
    </row>
    <row r="1384" spans="1:16" x14ac:dyDescent="0.25">
      <c r="A1384"/>
      <c r="B1384"/>
      <c r="C1384"/>
      <c r="D1384"/>
      <c r="E1384"/>
      <c r="F1384"/>
      <c r="G1384"/>
      <c r="H1384"/>
      <c r="I1384"/>
      <c r="J1384"/>
      <c r="K1384"/>
      <c r="L1384" s="14"/>
      <c r="M1384"/>
      <c r="N1384"/>
      <c r="O1384"/>
      <c r="P1384"/>
    </row>
    <row r="1385" spans="1:16" x14ac:dyDescent="0.25">
      <c r="A1385"/>
      <c r="B1385"/>
      <c r="C1385"/>
      <c r="D1385"/>
      <c r="E1385"/>
      <c r="F1385"/>
      <c r="G1385"/>
      <c r="H1385"/>
      <c r="I1385"/>
      <c r="J1385"/>
      <c r="K1385"/>
      <c r="L1385" s="14"/>
      <c r="M1385"/>
      <c r="N1385"/>
      <c r="O1385"/>
      <c r="P1385"/>
    </row>
    <row r="1386" spans="1:16" x14ac:dyDescent="0.25">
      <c r="A1386"/>
      <c r="B1386"/>
      <c r="C1386"/>
      <c r="D1386"/>
      <c r="E1386"/>
      <c r="F1386"/>
      <c r="G1386"/>
      <c r="H1386"/>
      <c r="I1386"/>
      <c r="J1386"/>
      <c r="K1386"/>
      <c r="L1386" s="14"/>
      <c r="M1386"/>
      <c r="N1386"/>
      <c r="O1386"/>
      <c r="P1386"/>
    </row>
    <row r="1387" spans="1:16" x14ac:dyDescent="0.25">
      <c r="A1387"/>
      <c r="B1387"/>
      <c r="C1387"/>
      <c r="D1387"/>
      <c r="E1387"/>
      <c r="F1387"/>
      <c r="G1387"/>
      <c r="H1387"/>
      <c r="I1387"/>
      <c r="J1387"/>
      <c r="K1387"/>
      <c r="L1387" s="14"/>
      <c r="M1387"/>
      <c r="N1387"/>
      <c r="O1387"/>
      <c r="P1387"/>
    </row>
    <row r="1388" spans="1:16" x14ac:dyDescent="0.25">
      <c r="A1388"/>
      <c r="B1388"/>
      <c r="C1388"/>
      <c r="D1388"/>
      <c r="E1388"/>
      <c r="F1388"/>
      <c r="G1388"/>
      <c r="H1388"/>
      <c r="I1388"/>
      <c r="J1388"/>
      <c r="K1388"/>
      <c r="L1388" s="14"/>
      <c r="M1388"/>
      <c r="N1388"/>
      <c r="O1388"/>
      <c r="P1388"/>
    </row>
    <row r="1389" spans="1:16" x14ac:dyDescent="0.25">
      <c r="A1389"/>
      <c r="B1389"/>
      <c r="C1389"/>
      <c r="D1389"/>
      <c r="E1389"/>
      <c r="F1389"/>
      <c r="G1389"/>
      <c r="H1389"/>
      <c r="I1389"/>
      <c r="J1389"/>
      <c r="K1389"/>
      <c r="L1389" s="14"/>
      <c r="M1389"/>
      <c r="N1389"/>
      <c r="O1389"/>
      <c r="P1389"/>
    </row>
    <row r="1390" spans="1:16" x14ac:dyDescent="0.25">
      <c r="A1390"/>
      <c r="B1390"/>
      <c r="C1390"/>
      <c r="D1390"/>
      <c r="E1390"/>
      <c r="F1390"/>
      <c r="G1390"/>
      <c r="H1390"/>
      <c r="I1390"/>
      <c r="J1390"/>
      <c r="K1390"/>
      <c r="L1390" s="14"/>
      <c r="M1390"/>
      <c r="N1390"/>
      <c r="O1390"/>
      <c r="P1390"/>
    </row>
    <row r="1391" spans="1:16" x14ac:dyDescent="0.25">
      <c r="A1391"/>
      <c r="B1391"/>
      <c r="C1391"/>
      <c r="D1391"/>
      <c r="E1391"/>
      <c r="F1391"/>
      <c r="G1391"/>
      <c r="H1391"/>
      <c r="I1391"/>
      <c r="J1391"/>
      <c r="K1391"/>
      <c r="L1391" s="14"/>
      <c r="M1391"/>
      <c r="N1391"/>
      <c r="O1391"/>
      <c r="P1391"/>
    </row>
    <row r="1392" spans="1:16" x14ac:dyDescent="0.25">
      <c r="A1392"/>
      <c r="B1392"/>
      <c r="C1392"/>
      <c r="D1392"/>
      <c r="E1392"/>
      <c r="F1392"/>
      <c r="G1392"/>
      <c r="H1392"/>
      <c r="I1392"/>
      <c r="J1392"/>
      <c r="K1392"/>
      <c r="L1392" s="14"/>
      <c r="M1392"/>
      <c r="N1392"/>
      <c r="O1392"/>
      <c r="P1392"/>
    </row>
    <row r="1393" spans="1:16" x14ac:dyDescent="0.25">
      <c r="A1393"/>
      <c r="B1393"/>
      <c r="C1393"/>
      <c r="D1393"/>
      <c r="E1393"/>
      <c r="F1393"/>
      <c r="G1393"/>
      <c r="H1393"/>
      <c r="I1393"/>
      <c r="J1393"/>
      <c r="K1393"/>
      <c r="L1393" s="14"/>
      <c r="M1393"/>
      <c r="N1393"/>
      <c r="O1393"/>
      <c r="P1393"/>
    </row>
    <row r="1394" spans="1:16" x14ac:dyDescent="0.25">
      <c r="A1394"/>
      <c r="B1394"/>
      <c r="C1394"/>
      <c r="D1394"/>
      <c r="E1394"/>
      <c r="F1394"/>
      <c r="G1394"/>
      <c r="H1394"/>
      <c r="I1394"/>
      <c r="J1394"/>
      <c r="K1394"/>
      <c r="L1394" s="14"/>
      <c r="M1394"/>
      <c r="N1394"/>
      <c r="O1394"/>
      <c r="P1394"/>
    </row>
    <row r="1395" spans="1:16" x14ac:dyDescent="0.25">
      <c r="A1395"/>
      <c r="B1395"/>
      <c r="C1395"/>
      <c r="D1395"/>
      <c r="E1395"/>
      <c r="F1395"/>
      <c r="G1395"/>
      <c r="H1395"/>
      <c r="I1395"/>
      <c r="J1395"/>
      <c r="K1395"/>
      <c r="L1395" s="14"/>
      <c r="M1395"/>
      <c r="N1395"/>
      <c r="O1395"/>
      <c r="P1395"/>
    </row>
    <row r="1396" spans="1:16" x14ac:dyDescent="0.25">
      <c r="A1396"/>
      <c r="B1396"/>
      <c r="C1396"/>
      <c r="D1396"/>
      <c r="E1396"/>
      <c r="F1396"/>
      <c r="G1396"/>
      <c r="H1396"/>
      <c r="I1396"/>
      <c r="J1396"/>
      <c r="K1396"/>
      <c r="L1396" s="14"/>
      <c r="M1396"/>
      <c r="N1396"/>
      <c r="O1396"/>
      <c r="P1396"/>
    </row>
    <row r="1397" spans="1:16" x14ac:dyDescent="0.25">
      <c r="A1397"/>
      <c r="B1397"/>
      <c r="C1397"/>
      <c r="D1397"/>
      <c r="E1397"/>
      <c r="F1397"/>
      <c r="G1397"/>
      <c r="H1397"/>
      <c r="I1397"/>
      <c r="J1397"/>
      <c r="K1397"/>
      <c r="L1397" s="14"/>
      <c r="M1397"/>
      <c r="N1397"/>
      <c r="O1397"/>
      <c r="P1397"/>
    </row>
    <row r="1398" spans="1:16" x14ac:dyDescent="0.25">
      <c r="A1398"/>
      <c r="B1398"/>
      <c r="C1398"/>
      <c r="D1398"/>
      <c r="E1398"/>
      <c r="F1398"/>
      <c r="G1398"/>
      <c r="H1398"/>
      <c r="I1398"/>
      <c r="J1398"/>
      <c r="K1398"/>
      <c r="L1398" s="14"/>
      <c r="M1398"/>
      <c r="N1398"/>
      <c r="O1398"/>
      <c r="P1398"/>
    </row>
    <row r="1399" spans="1:16" x14ac:dyDescent="0.25">
      <c r="A1399"/>
      <c r="B1399"/>
      <c r="C1399"/>
      <c r="D1399"/>
      <c r="E1399"/>
      <c r="F1399"/>
      <c r="G1399"/>
      <c r="H1399"/>
      <c r="I1399"/>
      <c r="J1399"/>
      <c r="K1399"/>
      <c r="L1399" s="14"/>
      <c r="M1399"/>
      <c r="N1399"/>
      <c r="O1399"/>
      <c r="P1399"/>
    </row>
    <row r="1400" spans="1:16" x14ac:dyDescent="0.25">
      <c r="A1400"/>
      <c r="B1400"/>
      <c r="C1400"/>
      <c r="D1400"/>
      <c r="E1400"/>
      <c r="F1400"/>
      <c r="G1400"/>
      <c r="H1400"/>
      <c r="I1400"/>
      <c r="J1400"/>
      <c r="K1400"/>
      <c r="L1400" s="14"/>
      <c r="M1400"/>
      <c r="N1400"/>
      <c r="O1400"/>
      <c r="P1400"/>
    </row>
    <row r="1401" spans="1:16" x14ac:dyDescent="0.25">
      <c r="A1401"/>
      <c r="B1401"/>
      <c r="C1401"/>
      <c r="D1401"/>
      <c r="E1401"/>
      <c r="F1401"/>
      <c r="G1401"/>
      <c r="H1401"/>
      <c r="I1401"/>
      <c r="J1401"/>
      <c r="K1401"/>
      <c r="L1401" s="14"/>
      <c r="M1401"/>
      <c r="N1401"/>
      <c r="O1401"/>
      <c r="P1401"/>
    </row>
    <row r="1402" spans="1:16" x14ac:dyDescent="0.25">
      <c r="A1402"/>
      <c r="B1402"/>
      <c r="C1402"/>
      <c r="D1402"/>
      <c r="E1402"/>
      <c r="F1402"/>
      <c r="G1402"/>
      <c r="H1402"/>
      <c r="I1402"/>
      <c r="J1402"/>
      <c r="K1402"/>
      <c r="L1402" s="14"/>
      <c r="M1402"/>
      <c r="N1402"/>
      <c r="O1402"/>
      <c r="P1402"/>
    </row>
    <row r="1403" spans="1:16" x14ac:dyDescent="0.25">
      <c r="A1403"/>
      <c r="B1403"/>
      <c r="C1403"/>
      <c r="D1403"/>
      <c r="E1403"/>
      <c r="F1403"/>
      <c r="G1403"/>
      <c r="H1403"/>
      <c r="I1403"/>
      <c r="J1403"/>
      <c r="K1403"/>
      <c r="L1403" s="14"/>
      <c r="M1403"/>
      <c r="N1403"/>
      <c r="O1403"/>
      <c r="P1403"/>
    </row>
    <row r="1404" spans="1:16" x14ac:dyDescent="0.25">
      <c r="A1404"/>
      <c r="B1404"/>
      <c r="C1404"/>
      <c r="D1404"/>
      <c r="E1404"/>
      <c r="F1404"/>
      <c r="G1404"/>
      <c r="H1404"/>
      <c r="I1404"/>
      <c r="J1404"/>
      <c r="K1404"/>
      <c r="L1404" s="14"/>
      <c r="M1404"/>
      <c r="N1404"/>
      <c r="O1404"/>
      <c r="P1404"/>
    </row>
    <row r="1405" spans="1:16" x14ac:dyDescent="0.25">
      <c r="A1405"/>
      <c r="B1405"/>
      <c r="C1405"/>
      <c r="D1405"/>
      <c r="E1405"/>
      <c r="F1405"/>
      <c r="G1405"/>
      <c r="H1405"/>
      <c r="I1405"/>
      <c r="J1405"/>
      <c r="K1405"/>
      <c r="L1405" s="14"/>
      <c r="M1405"/>
      <c r="N1405"/>
      <c r="O1405"/>
      <c r="P1405"/>
    </row>
    <row r="1406" spans="1:16" x14ac:dyDescent="0.25">
      <c r="A1406"/>
      <c r="B1406"/>
      <c r="C1406"/>
      <c r="D1406"/>
      <c r="E1406"/>
      <c r="F1406"/>
      <c r="G1406"/>
      <c r="H1406"/>
      <c r="I1406"/>
      <c r="J1406"/>
      <c r="K1406"/>
      <c r="L1406" s="14"/>
      <c r="M1406"/>
      <c r="N1406"/>
      <c r="O1406"/>
      <c r="P1406"/>
    </row>
    <row r="1407" spans="1:16" x14ac:dyDescent="0.25">
      <c r="A1407"/>
      <c r="B1407"/>
      <c r="C1407"/>
      <c r="D1407"/>
      <c r="E1407"/>
      <c r="F1407"/>
      <c r="G1407"/>
      <c r="H1407"/>
      <c r="I1407"/>
      <c r="J1407"/>
      <c r="K1407"/>
      <c r="L1407" s="14"/>
      <c r="M1407"/>
      <c r="N1407"/>
      <c r="O1407"/>
      <c r="P1407"/>
    </row>
    <row r="1408" spans="1:16" x14ac:dyDescent="0.25">
      <c r="A1408"/>
      <c r="B1408"/>
      <c r="C1408"/>
      <c r="D1408"/>
      <c r="E1408"/>
      <c r="F1408"/>
      <c r="G1408"/>
      <c r="H1408"/>
      <c r="I1408"/>
      <c r="J1408"/>
      <c r="K1408"/>
      <c r="L1408" s="14"/>
      <c r="M1408"/>
      <c r="N1408"/>
      <c r="O1408"/>
      <c r="P1408"/>
    </row>
    <row r="1409" spans="1:16" x14ac:dyDescent="0.25">
      <c r="A1409"/>
      <c r="B1409"/>
      <c r="C1409"/>
      <c r="D1409"/>
      <c r="E1409"/>
      <c r="F1409"/>
      <c r="G1409"/>
      <c r="H1409"/>
      <c r="I1409"/>
      <c r="J1409"/>
      <c r="K1409"/>
      <c r="L1409" s="14"/>
      <c r="M1409"/>
      <c r="N1409"/>
      <c r="O1409"/>
      <c r="P1409"/>
    </row>
    <row r="1410" spans="1:16" x14ac:dyDescent="0.25">
      <c r="A1410"/>
      <c r="B1410"/>
      <c r="C1410"/>
      <c r="D1410"/>
      <c r="E1410"/>
      <c r="F1410"/>
      <c r="G1410"/>
      <c r="H1410"/>
      <c r="I1410"/>
      <c r="J1410"/>
      <c r="K1410"/>
      <c r="L1410" s="14"/>
      <c r="M1410"/>
      <c r="N1410"/>
      <c r="O1410"/>
      <c r="P1410"/>
    </row>
    <row r="1411" spans="1:16" x14ac:dyDescent="0.25">
      <c r="A1411"/>
      <c r="B1411"/>
      <c r="C1411"/>
      <c r="D1411"/>
      <c r="E1411"/>
      <c r="F1411"/>
      <c r="G1411"/>
      <c r="H1411"/>
      <c r="I1411"/>
      <c r="J1411"/>
      <c r="K1411"/>
      <c r="L1411" s="14"/>
      <c r="M1411"/>
      <c r="N1411"/>
      <c r="O1411"/>
      <c r="P1411"/>
    </row>
    <row r="1412" spans="1:16" x14ac:dyDescent="0.25">
      <c r="A1412"/>
      <c r="B1412"/>
      <c r="C1412"/>
      <c r="D1412"/>
      <c r="E1412"/>
      <c r="F1412"/>
      <c r="G1412"/>
      <c r="H1412"/>
      <c r="I1412"/>
      <c r="J1412"/>
      <c r="K1412"/>
      <c r="L1412" s="14"/>
      <c r="M1412"/>
      <c r="N1412"/>
      <c r="O1412"/>
      <c r="P1412"/>
    </row>
    <row r="1413" spans="1:16" x14ac:dyDescent="0.25">
      <c r="A1413"/>
      <c r="B1413"/>
      <c r="C1413"/>
      <c r="D1413"/>
      <c r="E1413"/>
      <c r="F1413"/>
      <c r="G1413"/>
      <c r="H1413"/>
      <c r="I1413"/>
      <c r="J1413"/>
      <c r="K1413"/>
      <c r="L1413" s="14"/>
      <c r="M1413"/>
      <c r="N1413"/>
      <c r="O1413"/>
      <c r="P1413"/>
    </row>
    <row r="1414" spans="1:16" x14ac:dyDescent="0.25">
      <c r="A1414"/>
      <c r="B1414"/>
      <c r="C1414"/>
      <c r="D1414"/>
      <c r="E1414"/>
      <c r="F1414"/>
      <c r="G1414"/>
      <c r="H1414"/>
      <c r="I1414"/>
      <c r="J1414"/>
      <c r="K1414"/>
      <c r="L1414" s="14"/>
      <c r="M1414"/>
      <c r="N1414"/>
      <c r="O1414"/>
      <c r="P1414"/>
    </row>
    <row r="1415" spans="1:16" x14ac:dyDescent="0.25">
      <c r="A1415"/>
      <c r="B1415"/>
      <c r="C1415"/>
      <c r="D1415"/>
      <c r="E1415"/>
      <c r="F1415"/>
      <c r="G1415"/>
      <c r="H1415"/>
      <c r="I1415"/>
      <c r="J1415"/>
      <c r="K1415"/>
      <c r="L1415" s="14"/>
      <c r="M1415"/>
      <c r="N1415"/>
      <c r="O1415"/>
      <c r="P1415"/>
    </row>
    <row r="1416" spans="1:16" x14ac:dyDescent="0.25">
      <c r="A1416"/>
      <c r="B1416"/>
      <c r="C1416"/>
      <c r="D1416"/>
      <c r="E1416"/>
      <c r="F1416"/>
      <c r="G1416"/>
      <c r="H1416"/>
      <c r="I1416"/>
      <c r="J1416"/>
      <c r="K1416"/>
      <c r="L1416" s="14"/>
      <c r="M1416"/>
      <c r="N1416"/>
      <c r="O1416"/>
      <c r="P1416"/>
    </row>
    <row r="1417" spans="1:16" x14ac:dyDescent="0.25">
      <c r="A1417"/>
      <c r="B1417"/>
      <c r="C1417"/>
      <c r="D1417"/>
      <c r="E1417"/>
      <c r="F1417"/>
      <c r="G1417"/>
      <c r="H1417"/>
      <c r="I1417"/>
      <c r="J1417"/>
      <c r="K1417"/>
      <c r="L1417" s="14"/>
      <c r="M1417"/>
      <c r="N1417"/>
      <c r="O1417"/>
      <c r="P1417"/>
    </row>
    <row r="1418" spans="1:16" x14ac:dyDescent="0.25">
      <c r="A1418"/>
      <c r="B1418"/>
      <c r="C1418"/>
      <c r="D1418"/>
      <c r="E1418"/>
      <c r="F1418"/>
      <c r="G1418"/>
      <c r="H1418"/>
      <c r="I1418"/>
      <c r="J1418"/>
      <c r="K1418"/>
      <c r="L1418" s="14"/>
      <c r="M1418"/>
      <c r="N1418"/>
      <c r="O1418"/>
      <c r="P1418"/>
    </row>
    <row r="1419" spans="1:16" x14ac:dyDescent="0.25">
      <c r="A1419"/>
      <c r="B1419"/>
      <c r="C1419"/>
      <c r="D1419"/>
      <c r="E1419"/>
      <c r="F1419"/>
      <c r="G1419"/>
      <c r="H1419"/>
      <c r="I1419"/>
      <c r="J1419"/>
      <c r="K1419"/>
      <c r="L1419" s="14"/>
      <c r="M1419"/>
      <c r="N1419"/>
      <c r="O1419"/>
      <c r="P1419"/>
    </row>
    <row r="1420" spans="1:16" x14ac:dyDescent="0.25">
      <c r="A1420"/>
      <c r="B1420"/>
      <c r="C1420"/>
      <c r="D1420"/>
      <c r="E1420"/>
      <c r="F1420"/>
      <c r="G1420"/>
      <c r="H1420"/>
      <c r="I1420"/>
      <c r="J1420"/>
      <c r="K1420"/>
      <c r="L1420" s="14"/>
      <c r="M1420"/>
      <c r="N1420"/>
      <c r="O1420"/>
      <c r="P1420"/>
    </row>
    <row r="1421" spans="1:16" x14ac:dyDescent="0.25">
      <c r="A1421"/>
      <c r="B1421"/>
      <c r="C1421"/>
      <c r="D1421"/>
      <c r="E1421"/>
      <c r="F1421"/>
      <c r="G1421"/>
      <c r="H1421"/>
      <c r="I1421"/>
      <c r="J1421"/>
      <c r="K1421"/>
      <c r="L1421" s="14"/>
      <c r="M1421"/>
      <c r="N1421"/>
      <c r="O1421"/>
      <c r="P1421"/>
    </row>
    <row r="1422" spans="1:16" x14ac:dyDescent="0.25">
      <c r="A1422"/>
      <c r="B1422"/>
      <c r="C1422"/>
      <c r="D1422"/>
      <c r="E1422"/>
      <c r="F1422"/>
      <c r="G1422"/>
      <c r="H1422"/>
      <c r="I1422"/>
      <c r="J1422"/>
      <c r="K1422"/>
      <c r="L1422" s="14"/>
      <c r="M1422"/>
      <c r="N1422"/>
      <c r="O1422"/>
      <c r="P1422"/>
    </row>
    <row r="1423" spans="1:16" x14ac:dyDescent="0.25">
      <c r="A1423"/>
      <c r="B1423"/>
      <c r="C1423"/>
      <c r="D1423"/>
      <c r="E1423"/>
      <c r="F1423"/>
      <c r="G1423"/>
      <c r="H1423"/>
      <c r="I1423"/>
      <c r="J1423"/>
      <c r="K1423"/>
      <c r="L1423" s="14"/>
      <c r="M1423"/>
      <c r="N1423"/>
      <c r="O1423"/>
      <c r="P1423"/>
    </row>
    <row r="1424" spans="1:16" x14ac:dyDescent="0.25">
      <c r="A1424"/>
      <c r="B1424"/>
      <c r="C1424"/>
      <c r="D1424"/>
      <c r="E1424"/>
      <c r="F1424"/>
      <c r="G1424"/>
      <c r="H1424"/>
      <c r="I1424"/>
      <c r="J1424"/>
      <c r="K1424"/>
      <c r="L1424" s="14"/>
      <c r="M1424"/>
      <c r="N1424"/>
      <c r="O1424"/>
      <c r="P1424"/>
    </row>
    <row r="1425" spans="1:16" x14ac:dyDescent="0.25">
      <c r="A1425"/>
      <c r="B1425"/>
      <c r="C1425"/>
      <c r="D1425"/>
      <c r="E1425"/>
      <c r="F1425"/>
      <c r="G1425"/>
      <c r="H1425"/>
      <c r="I1425"/>
      <c r="J1425"/>
      <c r="K1425"/>
      <c r="L1425" s="14"/>
      <c r="M1425"/>
      <c r="N1425"/>
      <c r="O1425"/>
      <c r="P1425"/>
    </row>
    <row r="1426" spans="1:16" x14ac:dyDescent="0.25">
      <c r="A1426"/>
      <c r="B1426"/>
      <c r="C1426"/>
      <c r="D1426"/>
      <c r="E1426"/>
      <c r="F1426"/>
      <c r="G1426"/>
      <c r="H1426"/>
      <c r="I1426"/>
      <c r="J1426"/>
      <c r="K1426"/>
      <c r="L1426" s="14"/>
      <c r="M1426"/>
      <c r="N1426"/>
      <c r="O1426"/>
      <c r="P1426"/>
    </row>
    <row r="1427" spans="1:16" x14ac:dyDescent="0.25">
      <c r="A1427"/>
      <c r="B1427"/>
      <c r="C1427"/>
      <c r="D1427"/>
      <c r="E1427"/>
      <c r="F1427"/>
      <c r="G1427"/>
      <c r="H1427"/>
      <c r="I1427"/>
      <c r="J1427"/>
      <c r="K1427"/>
      <c r="L1427" s="14"/>
      <c r="M1427"/>
      <c r="N1427"/>
      <c r="O1427"/>
      <c r="P1427"/>
    </row>
    <row r="1428" spans="1:16" x14ac:dyDescent="0.25">
      <c r="A1428"/>
      <c r="B1428"/>
      <c r="C1428"/>
      <c r="D1428"/>
      <c r="E1428"/>
      <c r="F1428"/>
      <c r="G1428"/>
      <c r="H1428"/>
      <c r="I1428"/>
      <c r="J1428"/>
      <c r="K1428"/>
      <c r="L1428" s="14"/>
      <c r="M1428"/>
      <c r="N1428"/>
      <c r="O1428"/>
      <c r="P1428"/>
    </row>
    <row r="1429" spans="1:16" x14ac:dyDescent="0.25">
      <c r="A1429"/>
      <c r="B1429"/>
      <c r="C1429"/>
      <c r="D1429"/>
      <c r="E1429"/>
      <c r="F1429"/>
      <c r="G1429"/>
      <c r="H1429"/>
      <c r="I1429"/>
      <c r="J1429"/>
      <c r="K1429"/>
      <c r="L1429" s="14"/>
      <c r="M1429"/>
      <c r="N1429"/>
      <c r="O1429"/>
      <c r="P1429"/>
    </row>
    <row r="1430" spans="1:16" x14ac:dyDescent="0.25">
      <c r="A1430"/>
      <c r="B1430"/>
      <c r="C1430"/>
      <c r="D1430"/>
      <c r="E1430"/>
      <c r="F1430"/>
      <c r="G1430"/>
      <c r="H1430"/>
      <c r="I1430"/>
      <c r="J1430"/>
      <c r="K1430"/>
      <c r="L1430" s="14"/>
      <c r="M1430"/>
      <c r="N1430"/>
      <c r="O1430"/>
      <c r="P1430"/>
    </row>
    <row r="1431" spans="1:16" x14ac:dyDescent="0.25">
      <c r="A1431"/>
      <c r="B1431"/>
      <c r="C1431"/>
      <c r="D1431"/>
      <c r="E1431"/>
      <c r="F1431"/>
      <c r="G1431"/>
      <c r="H1431"/>
      <c r="I1431"/>
      <c r="J1431"/>
      <c r="K1431"/>
      <c r="L1431" s="14"/>
      <c r="M1431"/>
      <c r="N1431"/>
      <c r="O1431"/>
      <c r="P1431"/>
    </row>
    <row r="1432" spans="1:16" x14ac:dyDescent="0.25">
      <c r="A1432"/>
      <c r="B1432"/>
      <c r="C1432"/>
      <c r="D1432"/>
      <c r="E1432"/>
      <c r="F1432"/>
      <c r="G1432"/>
      <c r="H1432"/>
      <c r="I1432"/>
      <c r="J1432"/>
      <c r="K1432"/>
      <c r="L1432" s="14"/>
      <c r="M1432"/>
      <c r="N1432"/>
      <c r="O1432"/>
      <c r="P1432"/>
    </row>
    <row r="1433" spans="1:16" x14ac:dyDescent="0.25">
      <c r="A1433"/>
      <c r="B1433"/>
      <c r="C1433"/>
      <c r="D1433"/>
      <c r="E1433"/>
      <c r="F1433"/>
      <c r="G1433"/>
      <c r="H1433"/>
      <c r="I1433"/>
      <c r="J1433"/>
      <c r="K1433"/>
      <c r="L1433" s="14"/>
      <c r="M1433"/>
      <c r="N1433"/>
      <c r="O1433"/>
      <c r="P1433"/>
    </row>
    <row r="1434" spans="1:16" x14ac:dyDescent="0.25">
      <c r="A1434"/>
      <c r="B1434"/>
      <c r="C1434"/>
      <c r="D1434"/>
      <c r="E1434"/>
      <c r="F1434"/>
      <c r="G1434"/>
      <c r="H1434"/>
      <c r="I1434"/>
      <c r="J1434"/>
      <c r="K1434"/>
      <c r="L1434" s="14"/>
      <c r="M1434"/>
      <c r="N1434"/>
      <c r="O1434"/>
      <c r="P1434"/>
    </row>
    <row r="1435" spans="1:16" x14ac:dyDescent="0.25">
      <c r="A1435"/>
      <c r="B1435"/>
      <c r="C1435"/>
      <c r="D1435"/>
      <c r="E1435"/>
      <c r="F1435"/>
      <c r="G1435"/>
      <c r="H1435"/>
      <c r="I1435"/>
      <c r="J1435"/>
      <c r="K1435"/>
      <c r="L1435" s="14"/>
      <c r="M1435"/>
      <c r="N1435"/>
      <c r="O1435"/>
      <c r="P1435"/>
    </row>
    <row r="1436" spans="1:16" x14ac:dyDescent="0.25">
      <c r="A1436"/>
      <c r="B1436"/>
      <c r="C1436"/>
      <c r="D1436"/>
      <c r="E1436"/>
      <c r="F1436"/>
      <c r="G1436"/>
      <c r="H1436"/>
      <c r="I1436"/>
      <c r="J1436"/>
      <c r="K1436"/>
      <c r="L1436" s="14"/>
      <c r="M1436"/>
      <c r="N1436"/>
      <c r="O1436"/>
      <c r="P1436"/>
    </row>
    <row r="1437" spans="1:16" x14ac:dyDescent="0.25">
      <c r="A1437"/>
      <c r="B1437"/>
      <c r="C1437"/>
      <c r="D1437"/>
      <c r="E1437"/>
      <c r="F1437"/>
      <c r="G1437"/>
      <c r="H1437"/>
      <c r="I1437"/>
      <c r="J1437"/>
      <c r="K1437"/>
      <c r="L1437" s="14"/>
      <c r="M1437"/>
      <c r="N1437"/>
      <c r="O1437"/>
      <c r="P1437"/>
    </row>
    <row r="1438" spans="1:16" x14ac:dyDescent="0.25">
      <c r="A1438"/>
      <c r="B1438"/>
      <c r="C1438"/>
      <c r="D1438"/>
      <c r="E1438"/>
      <c r="F1438"/>
      <c r="G1438"/>
      <c r="H1438"/>
      <c r="I1438"/>
      <c r="J1438"/>
      <c r="K1438"/>
      <c r="L1438" s="14"/>
      <c r="M1438"/>
      <c r="N1438"/>
      <c r="O1438"/>
      <c r="P1438"/>
    </row>
    <row r="1439" spans="1:16" x14ac:dyDescent="0.25">
      <c r="A1439"/>
      <c r="B1439"/>
      <c r="C1439"/>
      <c r="D1439"/>
      <c r="E1439"/>
      <c r="F1439"/>
      <c r="G1439"/>
      <c r="H1439"/>
      <c r="I1439"/>
      <c r="J1439"/>
      <c r="K1439"/>
      <c r="L1439" s="14"/>
      <c r="M1439"/>
      <c r="N1439"/>
      <c r="O1439"/>
      <c r="P1439"/>
    </row>
    <row r="1440" spans="1:16" x14ac:dyDescent="0.25">
      <c r="A1440"/>
      <c r="B1440"/>
      <c r="C1440"/>
      <c r="D1440"/>
      <c r="E1440"/>
      <c r="F1440"/>
      <c r="G1440"/>
      <c r="H1440"/>
      <c r="I1440"/>
      <c r="J1440"/>
      <c r="K1440"/>
      <c r="L1440" s="14"/>
      <c r="M1440"/>
      <c r="N1440"/>
      <c r="O1440"/>
      <c r="P1440"/>
    </row>
    <row r="1441" spans="1:16" x14ac:dyDescent="0.25">
      <c r="A1441"/>
      <c r="B1441"/>
      <c r="C1441"/>
      <c r="D1441"/>
      <c r="E1441"/>
      <c r="F1441"/>
      <c r="G1441"/>
      <c r="H1441"/>
      <c r="I1441"/>
      <c r="J1441"/>
      <c r="K1441"/>
      <c r="L1441" s="14"/>
      <c r="M1441"/>
      <c r="N1441"/>
      <c r="O1441"/>
      <c r="P1441"/>
    </row>
    <row r="1442" spans="1:16" x14ac:dyDescent="0.25">
      <c r="A1442"/>
      <c r="B1442"/>
      <c r="C1442"/>
      <c r="D1442"/>
      <c r="E1442"/>
      <c r="F1442"/>
      <c r="G1442"/>
      <c r="H1442"/>
      <c r="I1442"/>
      <c r="J1442"/>
      <c r="K1442"/>
      <c r="L1442" s="14"/>
      <c r="M1442"/>
      <c r="N1442"/>
      <c r="O1442"/>
      <c r="P1442"/>
    </row>
    <row r="1443" spans="1:16" x14ac:dyDescent="0.25">
      <c r="A1443"/>
      <c r="B1443"/>
      <c r="C1443"/>
      <c r="D1443"/>
      <c r="E1443"/>
      <c r="F1443"/>
      <c r="G1443"/>
      <c r="H1443"/>
      <c r="I1443"/>
      <c r="J1443"/>
      <c r="K1443"/>
      <c r="L1443" s="14"/>
      <c r="M1443"/>
      <c r="N1443"/>
      <c r="O1443"/>
      <c r="P1443"/>
    </row>
    <row r="1444" spans="1:16" x14ac:dyDescent="0.25">
      <c r="A1444"/>
      <c r="B1444"/>
      <c r="C1444"/>
      <c r="D1444"/>
      <c r="E1444"/>
      <c r="F1444"/>
      <c r="G1444"/>
      <c r="H1444"/>
      <c r="I1444"/>
      <c r="J1444"/>
      <c r="K1444"/>
      <c r="L1444" s="14"/>
      <c r="M1444"/>
      <c r="N1444"/>
      <c r="O1444"/>
      <c r="P1444"/>
    </row>
    <row r="1445" spans="1:16" x14ac:dyDescent="0.25">
      <c r="A1445"/>
      <c r="B1445"/>
      <c r="C1445"/>
      <c r="D1445"/>
      <c r="E1445"/>
      <c r="F1445"/>
      <c r="G1445"/>
      <c r="H1445"/>
      <c r="I1445"/>
      <c r="J1445"/>
      <c r="K1445"/>
      <c r="L1445" s="14"/>
      <c r="M1445"/>
      <c r="N1445"/>
      <c r="O1445"/>
      <c r="P1445"/>
    </row>
    <row r="1446" spans="1:16" x14ac:dyDescent="0.25">
      <c r="A1446"/>
      <c r="B1446"/>
      <c r="C1446"/>
      <c r="D1446"/>
      <c r="E1446"/>
      <c r="F1446"/>
      <c r="G1446"/>
      <c r="H1446"/>
      <c r="I1446"/>
      <c r="J1446"/>
      <c r="K1446"/>
      <c r="L1446" s="14"/>
      <c r="M1446"/>
      <c r="N1446"/>
      <c r="O1446"/>
      <c r="P1446"/>
    </row>
    <row r="1447" spans="1:16" x14ac:dyDescent="0.25">
      <c r="A1447"/>
      <c r="B1447"/>
      <c r="C1447"/>
      <c r="D1447"/>
      <c r="E1447"/>
      <c r="F1447"/>
      <c r="G1447"/>
      <c r="H1447"/>
      <c r="I1447"/>
      <c r="J1447"/>
      <c r="K1447"/>
      <c r="L1447" s="14"/>
      <c r="M1447"/>
      <c r="N1447"/>
      <c r="O1447"/>
      <c r="P1447"/>
    </row>
    <row r="1448" spans="1:16" x14ac:dyDescent="0.25">
      <c r="A1448"/>
      <c r="B1448"/>
      <c r="C1448"/>
      <c r="D1448"/>
      <c r="E1448"/>
      <c r="F1448"/>
      <c r="G1448"/>
      <c r="H1448"/>
      <c r="I1448"/>
      <c r="J1448"/>
      <c r="K1448"/>
      <c r="L1448" s="14"/>
      <c r="M1448"/>
      <c r="N1448"/>
      <c r="O1448"/>
      <c r="P1448"/>
    </row>
    <row r="1449" spans="1:16" x14ac:dyDescent="0.25">
      <c r="A1449"/>
      <c r="B1449"/>
      <c r="C1449"/>
      <c r="D1449"/>
      <c r="E1449"/>
      <c r="F1449"/>
      <c r="G1449"/>
      <c r="H1449"/>
      <c r="I1449"/>
      <c r="J1449"/>
      <c r="K1449"/>
      <c r="L1449" s="14"/>
      <c r="M1449"/>
      <c r="N1449"/>
      <c r="O1449"/>
      <c r="P1449"/>
    </row>
    <row r="1450" spans="1:16" x14ac:dyDescent="0.25">
      <c r="A1450"/>
      <c r="B1450"/>
      <c r="C1450"/>
      <c r="D1450"/>
      <c r="E1450"/>
      <c r="F1450"/>
      <c r="G1450"/>
      <c r="H1450"/>
      <c r="I1450"/>
      <c r="J1450"/>
      <c r="K1450"/>
      <c r="L1450" s="14"/>
      <c r="M1450"/>
      <c r="N1450"/>
      <c r="O1450"/>
      <c r="P1450"/>
    </row>
    <row r="1451" spans="1:16" x14ac:dyDescent="0.25">
      <c r="A1451"/>
      <c r="B1451"/>
      <c r="C1451"/>
      <c r="D1451"/>
      <c r="E1451"/>
      <c r="F1451"/>
      <c r="G1451"/>
      <c r="H1451"/>
      <c r="I1451"/>
      <c r="J1451"/>
      <c r="K1451"/>
      <c r="L1451" s="14"/>
      <c r="M1451"/>
      <c r="N1451"/>
      <c r="O1451"/>
      <c r="P1451"/>
    </row>
    <row r="1452" spans="1:16" x14ac:dyDescent="0.25">
      <c r="A1452"/>
      <c r="B1452"/>
      <c r="C1452"/>
      <c r="D1452"/>
      <c r="E1452"/>
      <c r="F1452"/>
      <c r="G1452"/>
      <c r="H1452"/>
      <c r="I1452"/>
      <c r="J1452"/>
      <c r="K1452"/>
      <c r="L1452" s="14"/>
      <c r="M1452"/>
      <c r="N1452"/>
      <c r="O1452"/>
      <c r="P1452"/>
    </row>
    <row r="1453" spans="1:16" x14ac:dyDescent="0.25">
      <c r="A1453"/>
      <c r="B1453"/>
      <c r="C1453"/>
      <c r="D1453"/>
      <c r="E1453"/>
      <c r="F1453"/>
      <c r="G1453"/>
      <c r="H1453"/>
      <c r="I1453"/>
      <c r="J1453"/>
      <c r="K1453"/>
      <c r="L1453" s="14"/>
      <c r="M1453"/>
      <c r="N1453"/>
      <c r="O1453"/>
      <c r="P1453"/>
    </row>
    <row r="1454" spans="1:16" x14ac:dyDescent="0.25">
      <c r="A1454"/>
      <c r="B1454"/>
      <c r="C1454"/>
      <c r="D1454"/>
      <c r="E1454"/>
      <c r="F1454"/>
      <c r="G1454"/>
      <c r="H1454"/>
      <c r="I1454"/>
      <c r="J1454"/>
      <c r="K1454"/>
      <c r="L1454" s="14"/>
      <c r="M1454"/>
      <c r="N1454"/>
      <c r="O1454"/>
      <c r="P1454"/>
    </row>
    <row r="1455" spans="1:16" x14ac:dyDescent="0.25">
      <c r="A1455"/>
      <c r="B1455"/>
      <c r="C1455"/>
      <c r="D1455"/>
      <c r="E1455"/>
      <c r="F1455"/>
      <c r="G1455"/>
      <c r="H1455"/>
      <c r="I1455"/>
      <c r="J1455"/>
      <c r="K1455"/>
      <c r="L1455" s="14"/>
      <c r="M1455"/>
      <c r="N1455"/>
      <c r="O1455"/>
      <c r="P1455"/>
    </row>
    <row r="1456" spans="1:16" x14ac:dyDescent="0.25">
      <c r="A1456"/>
      <c r="B1456"/>
      <c r="C1456"/>
      <c r="D1456"/>
      <c r="E1456"/>
      <c r="F1456"/>
      <c r="G1456"/>
      <c r="H1456"/>
      <c r="I1456"/>
      <c r="J1456"/>
      <c r="K1456"/>
      <c r="L1456" s="14"/>
      <c r="M1456"/>
      <c r="N1456"/>
      <c r="O1456"/>
      <c r="P1456"/>
    </row>
    <row r="1457" spans="1:16" x14ac:dyDescent="0.25">
      <c r="A1457"/>
      <c r="B1457"/>
      <c r="C1457"/>
      <c r="D1457"/>
      <c r="E1457"/>
      <c r="F1457"/>
      <c r="G1457"/>
      <c r="H1457"/>
      <c r="I1457"/>
      <c r="J1457"/>
      <c r="K1457"/>
      <c r="L1457" s="14"/>
      <c r="M1457"/>
      <c r="N1457"/>
      <c r="O1457"/>
      <c r="P1457"/>
    </row>
    <row r="1458" spans="1:16" x14ac:dyDescent="0.25">
      <c r="A1458"/>
      <c r="B1458"/>
      <c r="C1458"/>
      <c r="D1458"/>
      <c r="E1458"/>
      <c r="F1458"/>
      <c r="G1458"/>
      <c r="H1458"/>
      <c r="I1458"/>
      <c r="J1458"/>
      <c r="K1458"/>
      <c r="L1458" s="14"/>
      <c r="M1458"/>
      <c r="N1458"/>
      <c r="O1458"/>
      <c r="P1458"/>
    </row>
    <row r="1459" spans="1:16" x14ac:dyDescent="0.25">
      <c r="A1459"/>
      <c r="B1459"/>
      <c r="C1459"/>
      <c r="D1459"/>
      <c r="E1459"/>
      <c r="F1459"/>
      <c r="G1459"/>
      <c r="H1459"/>
      <c r="I1459"/>
      <c r="J1459"/>
      <c r="K1459"/>
      <c r="L1459" s="14"/>
      <c r="M1459"/>
      <c r="N1459"/>
      <c r="O1459"/>
      <c r="P1459"/>
    </row>
    <row r="1460" spans="1:16" x14ac:dyDescent="0.25">
      <c r="A1460"/>
      <c r="B1460"/>
      <c r="C1460"/>
      <c r="D1460"/>
      <c r="E1460"/>
      <c r="F1460"/>
      <c r="G1460"/>
      <c r="H1460"/>
      <c r="I1460"/>
      <c r="J1460"/>
      <c r="K1460"/>
      <c r="L1460" s="14"/>
      <c r="M1460"/>
      <c r="N1460"/>
      <c r="O1460"/>
      <c r="P1460"/>
    </row>
    <row r="1461" spans="1:16" x14ac:dyDescent="0.25">
      <c r="A1461"/>
      <c r="B1461"/>
      <c r="C1461"/>
      <c r="D1461"/>
      <c r="E1461"/>
      <c r="F1461"/>
      <c r="G1461"/>
      <c r="H1461"/>
      <c r="I1461"/>
      <c r="J1461"/>
      <c r="K1461"/>
      <c r="L1461" s="14"/>
      <c r="M1461"/>
      <c r="N1461"/>
      <c r="O1461"/>
      <c r="P1461"/>
    </row>
    <row r="1462" spans="1:16" x14ac:dyDescent="0.25">
      <c r="A1462"/>
      <c r="B1462"/>
      <c r="C1462"/>
      <c r="D1462"/>
      <c r="E1462"/>
      <c r="F1462"/>
      <c r="G1462"/>
      <c r="H1462"/>
      <c r="I1462"/>
      <c r="J1462"/>
      <c r="K1462"/>
      <c r="L1462" s="14"/>
      <c r="M1462"/>
      <c r="N1462"/>
      <c r="O1462"/>
      <c r="P1462"/>
    </row>
    <row r="1463" spans="1:16" x14ac:dyDescent="0.25">
      <c r="A1463"/>
      <c r="B1463"/>
      <c r="C1463"/>
      <c r="D1463"/>
      <c r="E1463"/>
      <c r="F1463"/>
      <c r="G1463"/>
      <c r="H1463"/>
      <c r="I1463"/>
      <c r="J1463"/>
      <c r="K1463"/>
      <c r="L1463" s="14"/>
      <c r="M1463"/>
      <c r="N1463"/>
      <c r="O1463"/>
      <c r="P1463"/>
    </row>
    <row r="1464" spans="1:16" x14ac:dyDescent="0.25">
      <c r="A1464"/>
      <c r="B1464"/>
      <c r="C1464"/>
      <c r="D1464"/>
      <c r="E1464"/>
      <c r="F1464"/>
      <c r="G1464"/>
      <c r="H1464"/>
      <c r="I1464"/>
      <c r="J1464"/>
      <c r="K1464"/>
      <c r="L1464" s="14"/>
      <c r="M1464"/>
      <c r="N1464"/>
      <c r="O1464"/>
      <c r="P1464"/>
    </row>
    <row r="1465" spans="1:16" x14ac:dyDescent="0.25">
      <c r="A1465"/>
      <c r="B1465"/>
      <c r="C1465"/>
      <c r="D1465"/>
      <c r="E1465"/>
      <c r="F1465"/>
      <c r="G1465"/>
      <c r="H1465"/>
      <c r="I1465"/>
      <c r="J1465"/>
      <c r="K1465"/>
      <c r="L1465" s="14"/>
      <c r="M1465"/>
      <c r="N1465"/>
      <c r="O1465"/>
      <c r="P1465"/>
    </row>
    <row r="1466" spans="1:16" x14ac:dyDescent="0.25">
      <c r="A1466"/>
      <c r="B1466"/>
      <c r="C1466"/>
      <c r="D1466"/>
      <c r="E1466"/>
      <c r="F1466"/>
      <c r="G1466"/>
      <c r="H1466"/>
      <c r="I1466"/>
      <c r="J1466"/>
      <c r="K1466"/>
      <c r="L1466" s="14"/>
      <c r="M1466"/>
      <c r="N1466"/>
      <c r="O1466"/>
      <c r="P1466"/>
    </row>
    <row r="1467" spans="1:16" x14ac:dyDescent="0.25">
      <c r="A1467"/>
      <c r="B1467"/>
      <c r="C1467"/>
      <c r="D1467"/>
      <c r="E1467"/>
      <c r="F1467"/>
      <c r="G1467"/>
      <c r="H1467"/>
      <c r="I1467"/>
      <c r="J1467"/>
      <c r="K1467"/>
      <c r="L1467" s="14"/>
      <c r="M1467"/>
      <c r="N1467"/>
      <c r="O1467"/>
      <c r="P1467"/>
    </row>
    <row r="1468" spans="1:16" x14ac:dyDescent="0.25">
      <c r="A1468"/>
      <c r="B1468"/>
      <c r="C1468"/>
      <c r="D1468"/>
      <c r="E1468"/>
      <c r="F1468"/>
      <c r="G1468"/>
      <c r="H1468"/>
      <c r="I1468"/>
      <c r="J1468"/>
      <c r="K1468"/>
      <c r="L1468" s="14"/>
      <c r="M1468"/>
      <c r="N1468"/>
      <c r="O1468"/>
      <c r="P1468"/>
    </row>
    <row r="1469" spans="1:16" x14ac:dyDescent="0.25">
      <c r="A1469"/>
      <c r="B1469"/>
      <c r="C1469"/>
      <c r="D1469"/>
      <c r="E1469"/>
      <c r="F1469"/>
      <c r="G1469"/>
      <c r="H1469"/>
      <c r="I1469"/>
      <c r="J1469"/>
      <c r="K1469"/>
      <c r="L1469" s="14"/>
      <c r="M1469"/>
      <c r="N1469"/>
      <c r="O1469"/>
      <c r="P1469"/>
    </row>
    <row r="1470" spans="1:16" x14ac:dyDescent="0.25">
      <c r="A1470"/>
      <c r="B1470"/>
      <c r="C1470"/>
      <c r="D1470"/>
      <c r="E1470"/>
      <c r="F1470"/>
      <c r="G1470"/>
      <c r="H1470"/>
      <c r="I1470"/>
      <c r="J1470"/>
      <c r="K1470"/>
      <c r="L1470" s="14"/>
      <c r="M1470"/>
      <c r="N1470"/>
      <c r="O1470"/>
      <c r="P1470"/>
    </row>
    <row r="1471" spans="1:16" x14ac:dyDescent="0.25">
      <c r="A1471"/>
      <c r="B1471"/>
      <c r="C1471"/>
      <c r="D1471"/>
      <c r="E1471"/>
      <c r="F1471"/>
      <c r="G1471"/>
      <c r="H1471"/>
      <c r="I1471"/>
      <c r="J1471"/>
      <c r="K1471"/>
      <c r="L1471" s="14"/>
      <c r="M1471"/>
      <c r="N1471"/>
      <c r="O1471"/>
      <c r="P1471"/>
    </row>
    <row r="1472" spans="1:16" x14ac:dyDescent="0.25">
      <c r="A1472"/>
      <c r="B1472"/>
      <c r="C1472"/>
      <c r="D1472"/>
      <c r="E1472"/>
      <c r="F1472"/>
      <c r="G1472"/>
      <c r="H1472"/>
      <c r="I1472"/>
      <c r="J1472"/>
      <c r="K1472"/>
      <c r="L1472" s="14"/>
      <c r="M1472"/>
      <c r="N1472"/>
      <c r="O1472"/>
      <c r="P1472"/>
    </row>
    <row r="1473" spans="1:16" x14ac:dyDescent="0.25">
      <c r="A1473"/>
      <c r="B1473"/>
      <c r="C1473"/>
      <c r="D1473"/>
      <c r="E1473"/>
      <c r="F1473"/>
      <c r="G1473"/>
      <c r="H1473"/>
      <c r="I1473"/>
      <c r="J1473"/>
      <c r="K1473"/>
      <c r="L1473" s="14"/>
      <c r="M1473"/>
      <c r="N1473"/>
      <c r="O1473"/>
      <c r="P1473"/>
    </row>
    <row r="1474" spans="1:16" x14ac:dyDescent="0.25">
      <c r="A1474"/>
      <c r="B1474"/>
      <c r="C1474"/>
      <c r="D1474"/>
      <c r="E1474"/>
      <c r="F1474"/>
      <c r="G1474"/>
      <c r="H1474"/>
      <c r="I1474"/>
      <c r="J1474"/>
      <c r="K1474"/>
      <c r="L1474" s="14"/>
      <c r="M1474"/>
      <c r="N1474"/>
      <c r="O1474"/>
      <c r="P1474"/>
    </row>
    <row r="1475" spans="1:16" x14ac:dyDescent="0.25">
      <c r="A1475"/>
      <c r="B1475"/>
      <c r="C1475"/>
      <c r="D1475"/>
      <c r="E1475"/>
      <c r="F1475"/>
      <c r="G1475"/>
      <c r="H1475"/>
      <c r="I1475"/>
      <c r="J1475"/>
      <c r="K1475"/>
      <c r="L1475" s="14"/>
      <c r="M1475"/>
      <c r="N1475"/>
      <c r="O1475"/>
      <c r="P1475"/>
    </row>
    <row r="1476" spans="1:16" x14ac:dyDescent="0.25">
      <c r="A1476"/>
      <c r="B1476"/>
      <c r="C1476"/>
      <c r="D1476"/>
      <c r="E1476"/>
      <c r="F1476"/>
      <c r="G1476"/>
      <c r="H1476"/>
      <c r="I1476"/>
      <c r="J1476"/>
      <c r="K1476"/>
      <c r="L1476" s="14"/>
      <c r="M1476"/>
      <c r="N1476"/>
      <c r="O1476"/>
      <c r="P1476"/>
    </row>
    <row r="1477" spans="1:16" x14ac:dyDescent="0.25">
      <c r="A1477"/>
      <c r="B1477"/>
      <c r="C1477"/>
      <c r="D1477"/>
      <c r="E1477"/>
      <c r="F1477"/>
      <c r="G1477"/>
      <c r="H1477"/>
      <c r="I1477"/>
      <c r="J1477"/>
      <c r="K1477"/>
      <c r="L1477" s="14"/>
      <c r="M1477"/>
      <c r="N1477"/>
      <c r="O1477"/>
      <c r="P1477"/>
    </row>
    <row r="1478" spans="1:16" x14ac:dyDescent="0.25">
      <c r="A1478"/>
      <c r="B1478"/>
      <c r="C1478"/>
      <c r="D1478"/>
      <c r="E1478"/>
      <c r="F1478"/>
      <c r="G1478"/>
      <c r="H1478"/>
      <c r="I1478"/>
      <c r="J1478"/>
      <c r="K1478"/>
      <c r="L1478" s="14"/>
      <c r="M1478"/>
      <c r="N1478"/>
      <c r="O1478"/>
      <c r="P1478"/>
    </row>
    <row r="1479" spans="1:16" x14ac:dyDescent="0.25">
      <c r="A1479"/>
      <c r="B1479"/>
      <c r="C1479"/>
      <c r="D1479"/>
      <c r="E1479"/>
      <c r="F1479"/>
      <c r="G1479"/>
      <c r="H1479"/>
      <c r="I1479"/>
      <c r="J1479"/>
      <c r="K1479"/>
      <c r="L1479" s="14"/>
      <c r="M1479"/>
      <c r="N1479"/>
      <c r="O1479"/>
      <c r="P1479"/>
    </row>
    <row r="1480" spans="1:16" x14ac:dyDescent="0.25">
      <c r="A1480"/>
      <c r="B1480"/>
      <c r="C1480"/>
      <c r="D1480"/>
      <c r="E1480"/>
      <c r="F1480"/>
      <c r="G1480"/>
      <c r="H1480"/>
      <c r="I1480"/>
      <c r="J1480"/>
      <c r="K1480"/>
      <c r="L1480" s="14"/>
      <c r="M1480"/>
      <c r="N1480"/>
      <c r="O1480"/>
      <c r="P1480"/>
    </row>
    <row r="1481" spans="1:16" x14ac:dyDescent="0.25">
      <c r="A1481"/>
      <c r="B1481"/>
      <c r="C1481"/>
      <c r="D1481"/>
      <c r="E1481"/>
      <c r="F1481"/>
      <c r="G1481"/>
      <c r="H1481"/>
      <c r="I1481"/>
      <c r="J1481"/>
      <c r="K1481"/>
      <c r="L1481" s="14"/>
      <c r="M1481"/>
      <c r="N1481"/>
      <c r="O1481"/>
      <c r="P1481"/>
    </row>
    <row r="1482" spans="1:16" x14ac:dyDescent="0.25">
      <c r="A1482"/>
      <c r="B1482"/>
      <c r="C1482"/>
      <c r="D1482"/>
      <c r="E1482"/>
      <c r="F1482"/>
      <c r="G1482"/>
      <c r="H1482"/>
      <c r="I1482"/>
      <c r="J1482"/>
      <c r="K1482"/>
      <c r="L1482" s="14"/>
      <c r="M1482"/>
      <c r="N1482"/>
      <c r="O1482"/>
      <c r="P1482"/>
    </row>
    <row r="1483" spans="1:16" x14ac:dyDescent="0.25">
      <c r="A1483"/>
      <c r="B1483"/>
      <c r="C1483"/>
      <c r="D1483"/>
      <c r="E1483"/>
      <c r="F1483"/>
      <c r="G1483"/>
      <c r="H1483"/>
      <c r="I1483"/>
      <c r="J1483"/>
      <c r="K1483"/>
      <c r="L1483" s="14"/>
      <c r="M1483"/>
      <c r="N1483"/>
      <c r="O1483"/>
      <c r="P1483"/>
    </row>
    <row r="1484" spans="1:16" x14ac:dyDescent="0.25">
      <c r="A1484"/>
      <c r="B1484"/>
      <c r="C1484"/>
      <c r="D1484"/>
      <c r="E1484"/>
      <c r="F1484"/>
      <c r="G1484"/>
      <c r="H1484"/>
      <c r="I1484"/>
      <c r="J1484"/>
      <c r="K1484"/>
      <c r="L1484" s="14"/>
      <c r="M1484"/>
      <c r="N1484"/>
      <c r="O1484"/>
      <c r="P1484"/>
    </row>
    <row r="1485" spans="1:16" x14ac:dyDescent="0.25">
      <c r="A1485"/>
      <c r="B1485"/>
      <c r="C1485"/>
      <c r="D1485"/>
      <c r="E1485"/>
      <c r="F1485"/>
      <c r="G1485"/>
      <c r="H1485"/>
      <c r="I1485"/>
      <c r="J1485"/>
      <c r="K1485"/>
      <c r="L1485" s="14"/>
      <c r="M1485"/>
      <c r="N1485"/>
      <c r="O1485"/>
      <c r="P1485"/>
    </row>
    <row r="1486" spans="1:16" x14ac:dyDescent="0.25">
      <c r="A1486"/>
      <c r="B1486"/>
      <c r="C1486"/>
      <c r="D1486"/>
      <c r="E1486"/>
      <c r="F1486"/>
      <c r="G1486"/>
      <c r="H1486"/>
      <c r="I1486"/>
      <c r="J1486"/>
      <c r="K1486"/>
      <c r="L1486" s="14"/>
      <c r="M1486"/>
      <c r="N1486"/>
      <c r="O1486"/>
      <c r="P1486"/>
    </row>
    <row r="1487" spans="1:16" x14ac:dyDescent="0.25">
      <c r="A1487"/>
      <c r="B1487"/>
      <c r="C1487"/>
      <c r="D1487"/>
      <c r="E1487"/>
      <c r="F1487"/>
      <c r="G1487"/>
      <c r="H1487"/>
      <c r="I1487"/>
      <c r="J1487"/>
      <c r="K1487"/>
      <c r="L1487" s="14"/>
      <c r="M1487"/>
      <c r="N1487"/>
      <c r="O1487"/>
      <c r="P1487"/>
    </row>
    <row r="1488" spans="1:16" x14ac:dyDescent="0.25">
      <c r="A1488"/>
      <c r="B1488"/>
      <c r="C1488"/>
      <c r="D1488"/>
      <c r="E1488"/>
      <c r="F1488"/>
      <c r="G1488"/>
      <c r="H1488"/>
      <c r="I1488"/>
      <c r="J1488"/>
      <c r="K1488"/>
      <c r="L1488" s="14"/>
      <c r="M1488"/>
      <c r="N1488"/>
      <c r="O1488"/>
      <c r="P1488"/>
    </row>
    <row r="1489" spans="1:16" x14ac:dyDescent="0.25">
      <c r="A1489"/>
      <c r="B1489"/>
      <c r="C1489"/>
      <c r="D1489"/>
      <c r="E1489"/>
      <c r="F1489"/>
      <c r="G1489"/>
      <c r="H1489"/>
      <c r="I1489"/>
      <c r="J1489"/>
      <c r="K1489"/>
      <c r="L1489" s="14"/>
      <c r="M1489"/>
      <c r="N1489"/>
      <c r="O1489"/>
      <c r="P1489"/>
    </row>
    <row r="1490" spans="1:16" x14ac:dyDescent="0.25">
      <c r="A1490"/>
      <c r="B1490"/>
      <c r="C1490"/>
      <c r="D1490"/>
      <c r="E1490"/>
      <c r="F1490"/>
      <c r="G1490"/>
      <c r="H1490"/>
      <c r="I1490"/>
      <c r="J1490"/>
      <c r="K1490"/>
      <c r="L1490" s="14"/>
      <c r="M1490"/>
      <c r="N1490"/>
      <c r="O1490"/>
      <c r="P1490"/>
    </row>
    <row r="1491" spans="1:16" x14ac:dyDescent="0.25">
      <c r="A1491"/>
      <c r="B1491"/>
      <c r="C1491"/>
      <c r="D1491"/>
      <c r="E1491"/>
      <c r="F1491"/>
      <c r="G1491"/>
      <c r="H1491"/>
      <c r="I1491"/>
      <c r="J1491"/>
      <c r="K1491"/>
      <c r="L1491" s="14"/>
      <c r="M1491"/>
      <c r="N1491"/>
      <c r="O1491"/>
      <c r="P1491"/>
    </row>
    <row r="1492" spans="1:16" x14ac:dyDescent="0.25">
      <c r="A1492"/>
      <c r="B1492"/>
      <c r="C1492"/>
      <c r="D1492"/>
      <c r="E1492"/>
      <c r="F1492"/>
      <c r="G1492"/>
      <c r="H1492"/>
      <c r="I1492"/>
      <c r="J1492"/>
      <c r="K1492"/>
      <c r="L1492" s="14"/>
      <c r="M1492"/>
      <c r="N1492"/>
      <c r="O1492"/>
      <c r="P1492"/>
    </row>
    <row r="1493" spans="1:16" x14ac:dyDescent="0.25">
      <c r="A1493"/>
      <c r="B1493"/>
      <c r="C1493"/>
      <c r="D1493"/>
      <c r="E1493"/>
      <c r="F1493"/>
      <c r="G1493"/>
      <c r="H1493"/>
      <c r="I1493"/>
      <c r="J1493"/>
      <c r="K1493"/>
      <c r="L1493" s="14"/>
      <c r="M1493"/>
      <c r="N1493"/>
      <c r="O1493"/>
      <c r="P1493"/>
    </row>
    <row r="1494" spans="1:16" x14ac:dyDescent="0.25">
      <c r="A1494"/>
      <c r="B1494"/>
      <c r="C1494"/>
      <c r="D1494"/>
      <c r="E1494"/>
      <c r="F1494"/>
      <c r="G1494"/>
      <c r="H1494"/>
      <c r="I1494"/>
      <c r="J1494"/>
      <c r="K1494"/>
      <c r="L1494" s="14"/>
      <c r="M1494"/>
      <c r="N1494"/>
      <c r="O1494"/>
      <c r="P1494"/>
    </row>
    <row r="1495" spans="1:16" x14ac:dyDescent="0.25">
      <c r="A1495"/>
      <c r="B1495"/>
      <c r="C1495"/>
      <c r="D1495"/>
      <c r="E1495"/>
      <c r="F1495"/>
      <c r="G1495"/>
      <c r="H1495"/>
      <c r="I1495"/>
      <c r="J1495"/>
      <c r="K1495"/>
      <c r="L1495" s="14"/>
      <c r="M1495"/>
      <c r="N1495"/>
      <c r="O1495"/>
      <c r="P1495"/>
    </row>
    <row r="1496" spans="1:16" x14ac:dyDescent="0.25">
      <c r="A1496"/>
      <c r="B1496"/>
      <c r="C1496"/>
      <c r="D1496"/>
      <c r="E1496"/>
      <c r="F1496"/>
      <c r="G1496"/>
      <c r="H1496"/>
      <c r="I1496"/>
      <c r="J1496"/>
      <c r="K1496"/>
      <c r="L1496" s="14"/>
      <c r="M1496"/>
      <c r="N1496"/>
      <c r="O1496"/>
      <c r="P1496"/>
    </row>
    <row r="1497" spans="1:16" x14ac:dyDescent="0.25">
      <c r="A1497"/>
      <c r="B1497"/>
      <c r="C1497"/>
      <c r="D1497"/>
      <c r="E1497"/>
      <c r="F1497"/>
      <c r="G1497"/>
      <c r="H1497"/>
      <c r="I1497"/>
      <c r="J1497"/>
      <c r="K1497"/>
      <c r="L1497" s="14"/>
      <c r="M1497"/>
      <c r="N1497"/>
      <c r="O1497"/>
      <c r="P1497"/>
    </row>
    <row r="1498" spans="1:16" x14ac:dyDescent="0.25">
      <c r="A1498"/>
      <c r="B1498"/>
      <c r="C1498"/>
      <c r="D1498"/>
      <c r="E1498"/>
      <c r="F1498"/>
      <c r="G1498"/>
      <c r="H1498"/>
      <c r="I1498"/>
      <c r="J1498"/>
      <c r="K1498"/>
      <c r="L1498" s="14"/>
      <c r="M1498"/>
      <c r="N1498"/>
      <c r="O1498"/>
      <c r="P1498"/>
    </row>
    <row r="1499" spans="1:16" x14ac:dyDescent="0.25">
      <c r="A1499"/>
      <c r="B1499"/>
      <c r="C1499"/>
      <c r="D1499"/>
      <c r="E1499"/>
      <c r="F1499"/>
      <c r="G1499"/>
      <c r="H1499"/>
      <c r="I1499"/>
      <c r="J1499"/>
      <c r="K1499"/>
      <c r="L1499" s="14"/>
      <c r="M1499"/>
      <c r="N1499"/>
      <c r="O1499"/>
      <c r="P1499"/>
    </row>
    <row r="1500" spans="1:16" x14ac:dyDescent="0.25">
      <c r="A1500"/>
      <c r="B1500"/>
      <c r="C1500"/>
      <c r="D1500"/>
      <c r="E1500"/>
      <c r="F1500"/>
      <c r="G1500"/>
      <c r="H1500"/>
      <c r="I1500"/>
      <c r="J1500"/>
      <c r="K1500"/>
      <c r="L1500" s="14"/>
      <c r="M1500"/>
      <c r="N1500"/>
      <c r="O1500"/>
      <c r="P1500"/>
    </row>
    <row r="1501" spans="1:16" x14ac:dyDescent="0.25">
      <c r="A1501"/>
      <c r="B1501"/>
      <c r="C1501"/>
      <c r="D1501"/>
      <c r="E1501"/>
      <c r="F1501"/>
      <c r="G1501"/>
      <c r="H1501"/>
      <c r="I1501"/>
      <c r="J1501"/>
      <c r="K1501"/>
      <c r="L1501" s="14"/>
      <c r="M1501"/>
      <c r="N1501"/>
      <c r="O1501"/>
      <c r="P1501"/>
    </row>
    <row r="1502" spans="1:16" x14ac:dyDescent="0.25">
      <c r="A1502"/>
      <c r="B1502"/>
      <c r="C1502"/>
      <c r="D1502"/>
      <c r="E1502"/>
      <c r="F1502"/>
      <c r="G1502"/>
      <c r="H1502"/>
      <c r="I1502"/>
      <c r="J1502"/>
      <c r="K1502"/>
      <c r="L1502" s="14"/>
      <c r="M1502"/>
      <c r="N1502"/>
      <c r="O1502"/>
      <c r="P1502"/>
    </row>
    <row r="1503" spans="1:16" x14ac:dyDescent="0.25">
      <c r="A1503"/>
      <c r="B1503"/>
      <c r="C1503"/>
      <c r="D1503"/>
      <c r="E1503"/>
      <c r="F1503"/>
      <c r="G1503"/>
      <c r="H1503"/>
      <c r="I1503"/>
      <c r="J1503"/>
      <c r="K1503"/>
      <c r="L1503" s="14"/>
      <c r="M1503"/>
      <c r="N1503"/>
      <c r="O1503"/>
      <c r="P1503"/>
    </row>
    <row r="1504" spans="1:16" x14ac:dyDescent="0.25">
      <c r="A1504"/>
      <c r="B1504"/>
      <c r="C1504"/>
      <c r="D1504"/>
      <c r="E1504"/>
      <c r="F1504"/>
      <c r="G1504"/>
      <c r="H1504"/>
      <c r="I1504"/>
      <c r="J1504"/>
      <c r="K1504"/>
      <c r="L1504" s="14"/>
      <c r="M1504"/>
      <c r="N1504"/>
      <c r="O1504"/>
      <c r="P1504"/>
    </row>
    <row r="1505" spans="1:16" x14ac:dyDescent="0.25">
      <c r="A1505"/>
      <c r="B1505"/>
      <c r="C1505"/>
      <c r="D1505"/>
      <c r="E1505"/>
      <c r="F1505"/>
      <c r="G1505"/>
      <c r="H1505"/>
      <c r="I1505"/>
      <c r="J1505"/>
      <c r="K1505"/>
      <c r="L1505" s="14"/>
      <c r="M1505"/>
      <c r="N1505"/>
      <c r="O1505"/>
      <c r="P1505"/>
    </row>
    <row r="1506" spans="1:16" x14ac:dyDescent="0.25">
      <c r="A1506"/>
      <c r="B1506"/>
      <c r="C1506"/>
      <c r="D1506"/>
      <c r="E1506"/>
      <c r="F1506"/>
      <c r="G1506"/>
      <c r="H1506"/>
      <c r="I1506"/>
      <c r="J1506"/>
      <c r="K1506"/>
      <c r="L1506" s="14"/>
      <c r="M1506"/>
      <c r="N1506"/>
      <c r="O1506"/>
      <c r="P1506"/>
    </row>
    <row r="1507" spans="1:16" x14ac:dyDescent="0.25">
      <c r="A1507"/>
      <c r="B1507"/>
      <c r="C1507"/>
      <c r="D1507"/>
      <c r="E1507"/>
      <c r="F1507"/>
      <c r="G1507"/>
      <c r="H1507"/>
      <c r="I1507"/>
      <c r="J1507"/>
      <c r="K1507"/>
      <c r="L1507" s="14"/>
      <c r="M1507"/>
      <c r="N1507"/>
      <c r="O1507"/>
      <c r="P1507"/>
    </row>
    <row r="1508" spans="1:16" x14ac:dyDescent="0.25">
      <c r="A1508"/>
      <c r="B1508"/>
      <c r="C1508"/>
      <c r="D1508"/>
      <c r="E1508"/>
      <c r="F1508"/>
      <c r="G1508"/>
      <c r="H1508"/>
      <c r="I1508"/>
      <c r="J1508"/>
      <c r="K1508"/>
      <c r="L1508" s="14"/>
      <c r="M1508"/>
      <c r="N1508"/>
      <c r="O1508"/>
      <c r="P1508"/>
    </row>
    <row r="1509" spans="1:16" x14ac:dyDescent="0.25">
      <c r="A1509"/>
      <c r="B1509"/>
      <c r="C1509"/>
      <c r="D1509"/>
      <c r="E1509"/>
      <c r="F1509"/>
      <c r="G1509"/>
      <c r="H1509"/>
      <c r="I1509"/>
      <c r="J1509"/>
      <c r="K1509"/>
      <c r="L1509" s="14"/>
      <c r="M1509"/>
      <c r="N1509"/>
      <c r="O1509"/>
      <c r="P1509"/>
    </row>
    <row r="1510" spans="1:16" x14ac:dyDescent="0.25">
      <c r="A1510"/>
      <c r="B1510"/>
      <c r="C1510"/>
      <c r="D1510"/>
      <c r="E1510"/>
      <c r="F1510"/>
      <c r="G1510"/>
      <c r="H1510"/>
      <c r="I1510"/>
      <c r="J1510"/>
      <c r="K1510"/>
      <c r="L1510" s="14"/>
      <c r="M1510"/>
      <c r="N1510"/>
      <c r="O1510"/>
      <c r="P1510"/>
    </row>
    <row r="1511" spans="1:16" x14ac:dyDescent="0.25">
      <c r="A1511"/>
      <c r="B1511"/>
      <c r="C1511"/>
      <c r="D1511"/>
      <c r="E1511"/>
      <c r="F1511"/>
      <c r="G1511"/>
      <c r="H1511"/>
      <c r="I1511"/>
      <c r="J1511"/>
      <c r="K1511"/>
      <c r="L1511" s="14"/>
      <c r="M1511"/>
      <c r="N1511"/>
      <c r="O1511"/>
      <c r="P1511"/>
    </row>
    <row r="1512" spans="1:16" x14ac:dyDescent="0.25">
      <c r="A1512"/>
      <c r="B1512"/>
      <c r="C1512"/>
      <c r="D1512"/>
      <c r="E1512"/>
      <c r="F1512"/>
      <c r="G1512"/>
      <c r="H1512"/>
      <c r="I1512"/>
      <c r="J1512"/>
      <c r="K1512"/>
      <c r="L1512" s="14"/>
      <c r="M1512"/>
      <c r="N1512"/>
      <c r="O1512"/>
      <c r="P1512"/>
    </row>
    <row r="1513" spans="1:16" x14ac:dyDescent="0.25">
      <c r="A1513"/>
      <c r="B1513"/>
      <c r="C1513"/>
      <c r="D1513"/>
      <c r="E1513"/>
      <c r="F1513"/>
      <c r="G1513"/>
      <c r="H1513"/>
      <c r="I1513"/>
      <c r="J1513"/>
      <c r="K1513"/>
      <c r="L1513" s="14"/>
      <c r="M1513"/>
      <c r="N1513"/>
      <c r="O1513"/>
      <c r="P1513"/>
    </row>
    <row r="1514" spans="1:16" x14ac:dyDescent="0.25">
      <c r="A1514"/>
      <c r="B1514"/>
      <c r="C1514"/>
      <c r="D1514"/>
      <c r="E1514"/>
      <c r="F1514"/>
      <c r="G1514"/>
      <c r="H1514"/>
      <c r="I1514"/>
      <c r="J1514"/>
      <c r="K1514"/>
      <c r="L1514" s="14"/>
      <c r="M1514"/>
      <c r="N1514"/>
      <c r="O1514"/>
      <c r="P1514"/>
    </row>
    <row r="1515" spans="1:16" x14ac:dyDescent="0.25">
      <c r="A1515"/>
      <c r="B1515"/>
      <c r="C1515"/>
      <c r="D1515"/>
      <c r="E1515"/>
      <c r="F1515"/>
      <c r="G1515"/>
      <c r="H1515"/>
      <c r="I1515"/>
      <c r="J1515"/>
      <c r="K1515"/>
      <c r="L1515" s="14"/>
      <c r="M1515"/>
      <c r="N1515"/>
      <c r="O1515"/>
      <c r="P1515"/>
    </row>
    <row r="1516" spans="1:16" x14ac:dyDescent="0.25">
      <c r="A1516"/>
      <c r="B1516"/>
      <c r="C1516"/>
      <c r="D1516"/>
      <c r="E1516"/>
      <c r="F1516"/>
      <c r="G1516"/>
      <c r="H1516"/>
      <c r="I1516"/>
      <c r="J1516"/>
      <c r="K1516"/>
      <c r="L1516" s="14"/>
      <c r="M1516"/>
      <c r="N1516"/>
      <c r="O1516"/>
      <c r="P1516"/>
    </row>
    <row r="1517" spans="1:16" x14ac:dyDescent="0.25">
      <c r="A1517"/>
      <c r="B1517"/>
      <c r="C1517"/>
      <c r="D1517"/>
      <c r="E1517"/>
      <c r="F1517"/>
      <c r="G1517"/>
      <c r="H1517"/>
      <c r="I1517"/>
      <c r="J1517"/>
      <c r="K1517"/>
      <c r="L1517" s="14"/>
      <c r="M1517"/>
      <c r="N1517"/>
      <c r="O1517"/>
      <c r="P1517"/>
    </row>
    <row r="1518" spans="1:16" x14ac:dyDescent="0.25">
      <c r="A1518"/>
      <c r="B1518"/>
      <c r="C1518"/>
      <c r="D1518"/>
      <c r="E1518"/>
      <c r="F1518"/>
      <c r="G1518"/>
      <c r="H1518"/>
      <c r="I1518"/>
      <c r="J1518"/>
      <c r="K1518"/>
      <c r="L1518" s="14"/>
      <c r="M1518"/>
      <c r="N1518"/>
      <c r="O1518"/>
      <c r="P1518"/>
    </row>
    <row r="1519" spans="1:16" x14ac:dyDescent="0.25">
      <c r="A1519"/>
      <c r="B1519"/>
      <c r="C1519"/>
      <c r="D1519"/>
      <c r="E1519"/>
      <c r="F1519"/>
      <c r="G1519"/>
      <c r="H1519"/>
      <c r="I1519"/>
      <c r="J1519"/>
      <c r="K1519"/>
      <c r="L1519" s="14"/>
      <c r="M1519"/>
      <c r="N1519"/>
      <c r="O1519"/>
      <c r="P1519"/>
    </row>
    <row r="1520" spans="1:16" x14ac:dyDescent="0.25">
      <c r="A1520"/>
      <c r="B1520"/>
      <c r="C1520"/>
      <c r="D1520"/>
      <c r="E1520"/>
      <c r="F1520"/>
      <c r="G1520"/>
      <c r="H1520"/>
      <c r="I1520"/>
      <c r="J1520"/>
      <c r="K1520"/>
      <c r="L1520" s="14"/>
      <c r="M1520"/>
      <c r="N1520"/>
      <c r="O1520"/>
      <c r="P1520"/>
    </row>
    <row r="1521" spans="1:16" x14ac:dyDescent="0.25">
      <c r="A1521"/>
      <c r="B1521"/>
      <c r="C1521"/>
      <c r="D1521"/>
      <c r="E1521"/>
      <c r="F1521"/>
      <c r="G1521"/>
      <c r="H1521"/>
      <c r="I1521"/>
      <c r="J1521"/>
      <c r="K1521"/>
      <c r="L1521" s="14"/>
      <c r="M1521"/>
      <c r="N1521"/>
      <c r="O1521"/>
      <c r="P1521"/>
    </row>
    <row r="1522" spans="1:16" x14ac:dyDescent="0.25">
      <c r="A1522"/>
      <c r="B1522"/>
      <c r="C1522"/>
      <c r="D1522"/>
      <c r="E1522"/>
      <c r="F1522"/>
      <c r="G1522"/>
      <c r="H1522"/>
      <c r="I1522"/>
      <c r="J1522"/>
      <c r="K1522"/>
      <c r="L1522" s="14"/>
      <c r="M1522"/>
      <c r="N1522"/>
      <c r="O1522"/>
      <c r="P1522"/>
    </row>
    <row r="1523" spans="1:16" x14ac:dyDescent="0.25">
      <c r="A1523"/>
      <c r="B1523"/>
      <c r="C1523"/>
      <c r="D1523"/>
      <c r="E1523"/>
      <c r="F1523"/>
      <c r="G1523"/>
      <c r="H1523"/>
      <c r="I1523"/>
      <c r="J1523"/>
      <c r="K1523"/>
      <c r="L1523" s="14"/>
      <c r="M1523"/>
      <c r="N1523"/>
      <c r="O1523"/>
      <c r="P1523"/>
    </row>
    <row r="1524" spans="1:16" x14ac:dyDescent="0.25">
      <c r="A1524"/>
      <c r="B1524"/>
      <c r="C1524"/>
      <c r="D1524"/>
      <c r="E1524"/>
      <c r="F1524"/>
      <c r="G1524"/>
      <c r="H1524"/>
      <c r="I1524"/>
      <c r="J1524"/>
      <c r="K1524"/>
      <c r="L1524" s="14"/>
      <c r="M1524"/>
      <c r="N1524"/>
      <c r="O1524"/>
      <c r="P1524"/>
    </row>
    <row r="1525" spans="1:16" x14ac:dyDescent="0.25">
      <c r="A1525"/>
      <c r="B1525"/>
      <c r="C1525"/>
      <c r="D1525"/>
      <c r="E1525"/>
      <c r="F1525"/>
      <c r="G1525"/>
      <c r="H1525"/>
      <c r="I1525"/>
      <c r="J1525"/>
      <c r="K1525"/>
      <c r="L1525" s="14"/>
      <c r="M1525"/>
      <c r="N1525"/>
      <c r="O1525"/>
      <c r="P1525"/>
    </row>
    <row r="1526" spans="1:16" x14ac:dyDescent="0.25">
      <c r="A1526"/>
      <c r="B1526"/>
      <c r="C1526"/>
      <c r="D1526"/>
      <c r="E1526"/>
      <c r="F1526"/>
      <c r="G1526"/>
      <c r="H1526"/>
      <c r="I1526"/>
      <c r="J1526"/>
      <c r="K1526"/>
      <c r="L1526" s="14"/>
      <c r="M1526"/>
      <c r="N1526"/>
      <c r="O1526"/>
      <c r="P1526"/>
    </row>
    <row r="1527" spans="1:16" x14ac:dyDescent="0.25">
      <c r="A1527"/>
      <c r="B1527"/>
      <c r="C1527"/>
      <c r="D1527"/>
      <c r="E1527"/>
      <c r="F1527"/>
      <c r="G1527"/>
      <c r="H1527"/>
      <c r="I1527"/>
      <c r="J1527"/>
      <c r="K1527"/>
      <c r="L1527" s="14"/>
      <c r="M1527"/>
      <c r="N1527"/>
      <c r="O1527"/>
      <c r="P1527"/>
    </row>
    <row r="1528" spans="1:16" x14ac:dyDescent="0.25">
      <c r="A1528"/>
      <c r="B1528"/>
      <c r="C1528"/>
      <c r="D1528"/>
      <c r="E1528"/>
      <c r="F1528"/>
      <c r="G1528"/>
      <c r="H1528"/>
      <c r="I1528"/>
      <c r="J1528"/>
      <c r="K1528"/>
      <c r="L1528" s="14"/>
      <c r="M1528"/>
      <c r="N1528"/>
      <c r="O1528"/>
      <c r="P1528"/>
    </row>
    <row r="1529" spans="1:16" x14ac:dyDescent="0.25">
      <c r="A1529"/>
      <c r="B1529"/>
      <c r="C1529"/>
      <c r="D1529"/>
      <c r="E1529"/>
      <c r="F1529"/>
      <c r="G1529"/>
      <c r="H1529"/>
      <c r="I1529"/>
      <c r="J1529"/>
      <c r="K1529"/>
      <c r="L1529" s="14"/>
      <c r="M1529"/>
      <c r="N1529"/>
      <c r="O1529"/>
      <c r="P1529"/>
    </row>
    <row r="1530" spans="1:16" x14ac:dyDescent="0.25">
      <c r="A1530"/>
      <c r="B1530"/>
      <c r="C1530"/>
      <c r="D1530"/>
      <c r="E1530"/>
      <c r="F1530"/>
      <c r="G1530"/>
      <c r="H1530"/>
      <c r="I1530"/>
      <c r="J1530"/>
      <c r="K1530"/>
      <c r="L1530" s="14"/>
      <c r="M1530"/>
      <c r="N1530"/>
      <c r="O1530"/>
      <c r="P1530"/>
    </row>
    <row r="1531" spans="1:16" x14ac:dyDescent="0.25">
      <c r="A1531"/>
      <c r="B1531"/>
      <c r="C1531"/>
      <c r="D1531"/>
      <c r="E1531"/>
      <c r="F1531"/>
      <c r="G1531"/>
      <c r="H1531"/>
      <c r="I1531"/>
      <c r="J1531"/>
      <c r="K1531"/>
      <c r="L1531" s="14"/>
      <c r="M1531"/>
      <c r="N1531"/>
      <c r="O1531"/>
      <c r="P1531"/>
    </row>
    <row r="1532" spans="1:16" x14ac:dyDescent="0.25">
      <c r="A1532"/>
      <c r="B1532"/>
      <c r="C1532"/>
      <c r="D1532"/>
      <c r="E1532"/>
      <c r="F1532"/>
      <c r="G1532"/>
      <c r="H1532"/>
      <c r="I1532"/>
      <c r="J1532"/>
      <c r="K1532"/>
      <c r="L1532" s="14"/>
      <c r="M1532"/>
      <c r="N1532"/>
      <c r="O1532"/>
      <c r="P1532"/>
    </row>
    <row r="1533" spans="1:16" x14ac:dyDescent="0.25">
      <c r="A1533"/>
      <c r="B1533"/>
      <c r="C1533"/>
      <c r="D1533"/>
      <c r="E1533"/>
      <c r="F1533"/>
      <c r="G1533"/>
      <c r="H1533"/>
      <c r="I1533"/>
      <c r="J1533"/>
      <c r="K1533"/>
      <c r="L1533" s="14"/>
      <c r="M1533"/>
      <c r="N1533"/>
      <c r="O1533"/>
      <c r="P1533"/>
    </row>
    <row r="1534" spans="1:16" x14ac:dyDescent="0.25">
      <c r="A1534"/>
      <c r="B1534"/>
      <c r="C1534"/>
      <c r="D1534"/>
      <c r="E1534"/>
      <c r="F1534"/>
      <c r="G1534"/>
      <c r="H1534"/>
      <c r="I1534"/>
      <c r="J1534"/>
      <c r="K1534"/>
      <c r="L1534" s="14"/>
      <c r="M1534"/>
      <c r="N1534"/>
      <c r="O1534"/>
      <c r="P1534"/>
    </row>
    <row r="1535" spans="1:16" x14ac:dyDescent="0.25">
      <c r="A1535"/>
      <c r="B1535"/>
      <c r="C1535"/>
      <c r="D1535"/>
      <c r="E1535"/>
      <c r="F1535"/>
      <c r="G1535"/>
      <c r="H1535"/>
      <c r="I1535"/>
      <c r="J1535"/>
      <c r="K1535"/>
      <c r="L1535" s="14"/>
      <c r="M1535"/>
      <c r="N1535"/>
      <c r="O1535"/>
      <c r="P1535"/>
    </row>
    <row r="1536" spans="1:16" x14ac:dyDescent="0.25">
      <c r="A1536"/>
      <c r="B1536"/>
      <c r="C1536"/>
      <c r="D1536"/>
      <c r="E1536"/>
      <c r="F1536"/>
      <c r="G1536"/>
      <c r="H1536"/>
      <c r="I1536"/>
      <c r="J1536"/>
      <c r="K1536"/>
      <c r="L1536" s="14"/>
      <c r="M1536"/>
      <c r="N1536"/>
      <c r="O1536"/>
      <c r="P1536"/>
    </row>
    <row r="1537" spans="1:16" x14ac:dyDescent="0.25">
      <c r="A1537"/>
      <c r="B1537"/>
      <c r="C1537"/>
      <c r="D1537"/>
      <c r="E1537"/>
      <c r="F1537"/>
      <c r="G1537"/>
      <c r="H1537"/>
      <c r="I1537"/>
      <c r="J1537"/>
      <c r="K1537"/>
      <c r="L1537" s="14"/>
      <c r="M1537"/>
      <c r="N1537"/>
      <c r="O1537"/>
      <c r="P1537"/>
    </row>
    <row r="1538" spans="1:16" x14ac:dyDescent="0.25">
      <c r="A1538"/>
      <c r="B1538"/>
      <c r="C1538"/>
      <c r="D1538"/>
      <c r="E1538"/>
      <c r="F1538"/>
      <c r="G1538"/>
      <c r="H1538"/>
      <c r="I1538"/>
      <c r="J1538"/>
      <c r="K1538"/>
      <c r="L1538" s="14"/>
      <c r="M1538"/>
      <c r="N1538"/>
      <c r="O1538"/>
      <c r="P1538"/>
    </row>
    <row r="1539" spans="1:16" x14ac:dyDescent="0.25">
      <c r="A1539"/>
      <c r="B1539"/>
      <c r="C1539"/>
      <c r="D1539"/>
      <c r="E1539"/>
      <c r="F1539"/>
      <c r="G1539"/>
      <c r="H1539"/>
      <c r="I1539"/>
      <c r="J1539"/>
      <c r="K1539"/>
      <c r="L1539" s="14"/>
      <c r="M1539"/>
      <c r="N1539"/>
      <c r="O1539"/>
      <c r="P1539"/>
    </row>
    <row r="1540" spans="1:16" x14ac:dyDescent="0.25">
      <c r="A1540"/>
      <c r="B1540"/>
      <c r="C1540"/>
      <c r="D1540"/>
      <c r="E1540"/>
      <c r="F1540"/>
      <c r="G1540"/>
      <c r="H1540"/>
      <c r="I1540"/>
      <c r="J1540"/>
      <c r="K1540"/>
      <c r="L1540" s="14"/>
      <c r="M1540"/>
      <c r="N1540"/>
      <c r="O1540"/>
      <c r="P1540"/>
    </row>
    <row r="1541" spans="1:16" x14ac:dyDescent="0.25">
      <c r="A1541"/>
      <c r="B1541"/>
      <c r="C1541"/>
      <c r="D1541"/>
      <c r="E1541"/>
      <c r="F1541"/>
      <c r="G1541"/>
      <c r="H1541"/>
      <c r="I1541"/>
      <c r="J1541"/>
      <c r="K1541"/>
      <c r="L1541" s="14"/>
      <c r="M1541"/>
      <c r="N1541"/>
      <c r="O1541"/>
      <c r="P1541"/>
    </row>
    <row r="1542" spans="1:16" x14ac:dyDescent="0.25">
      <c r="A1542"/>
      <c r="B1542"/>
      <c r="C1542"/>
      <c r="D1542"/>
      <c r="E1542"/>
      <c r="F1542"/>
      <c r="G1542"/>
      <c r="H1542"/>
      <c r="I1542"/>
      <c r="J1542"/>
      <c r="K1542"/>
      <c r="L1542" s="14"/>
      <c r="M1542"/>
      <c r="N1542"/>
      <c r="O1542"/>
      <c r="P1542"/>
    </row>
    <row r="1543" spans="1:16" x14ac:dyDescent="0.25">
      <c r="A1543"/>
      <c r="B1543"/>
      <c r="C1543"/>
      <c r="D1543"/>
      <c r="E1543"/>
      <c r="F1543"/>
      <c r="G1543"/>
      <c r="H1543"/>
      <c r="I1543"/>
      <c r="J1543"/>
      <c r="K1543"/>
      <c r="L1543" s="14"/>
      <c r="M1543"/>
      <c r="N1543"/>
      <c r="O1543"/>
      <c r="P1543"/>
    </row>
    <row r="1544" spans="1:16" x14ac:dyDescent="0.25">
      <c r="A1544"/>
      <c r="B1544"/>
      <c r="C1544"/>
      <c r="D1544"/>
      <c r="E1544"/>
      <c r="F1544"/>
      <c r="G1544"/>
      <c r="H1544"/>
      <c r="I1544"/>
      <c r="J1544"/>
      <c r="K1544"/>
      <c r="L1544" s="14"/>
      <c r="M1544"/>
      <c r="N1544"/>
      <c r="O1544"/>
      <c r="P1544"/>
    </row>
    <row r="1545" spans="1:16" x14ac:dyDescent="0.25">
      <c r="A1545"/>
      <c r="B1545"/>
      <c r="C1545"/>
      <c r="D1545"/>
      <c r="E1545"/>
      <c r="F1545"/>
      <c r="G1545"/>
      <c r="H1545"/>
      <c r="I1545"/>
      <c r="J1545"/>
      <c r="K1545"/>
      <c r="L1545" s="14"/>
      <c r="M1545"/>
      <c r="N1545"/>
      <c r="O1545"/>
      <c r="P1545"/>
    </row>
    <row r="1546" spans="1:16" x14ac:dyDescent="0.25">
      <c r="A1546"/>
      <c r="B1546"/>
      <c r="C1546"/>
      <c r="D1546"/>
      <c r="E1546"/>
      <c r="F1546"/>
      <c r="G1546"/>
      <c r="H1546"/>
      <c r="I1546"/>
      <c r="J1546"/>
      <c r="K1546"/>
      <c r="L1546" s="14"/>
      <c r="M1546"/>
      <c r="N1546"/>
      <c r="O1546"/>
      <c r="P1546"/>
    </row>
    <row r="1547" spans="1:16" x14ac:dyDescent="0.25">
      <c r="A1547"/>
      <c r="B1547"/>
      <c r="C1547"/>
      <c r="D1547"/>
      <c r="E1547"/>
      <c r="F1547"/>
      <c r="G1547"/>
      <c r="H1547"/>
      <c r="I1547"/>
      <c r="J1547"/>
      <c r="K1547"/>
      <c r="L1547" s="14"/>
      <c r="M1547"/>
      <c r="N1547"/>
      <c r="O1547"/>
      <c r="P1547"/>
    </row>
    <row r="1548" spans="1:16" x14ac:dyDescent="0.25">
      <c r="A1548"/>
      <c r="B1548"/>
      <c r="C1548"/>
      <c r="D1548"/>
      <c r="E1548"/>
      <c r="F1548"/>
      <c r="G1548"/>
      <c r="H1548"/>
      <c r="I1548"/>
      <c r="J1548"/>
      <c r="K1548"/>
      <c r="L1548" s="14"/>
      <c r="M1548"/>
      <c r="N1548"/>
      <c r="O1548"/>
      <c r="P1548"/>
    </row>
    <row r="1549" spans="1:16" x14ac:dyDescent="0.25">
      <c r="A1549"/>
      <c r="B1549"/>
      <c r="C1549"/>
      <c r="D1549"/>
      <c r="E1549"/>
      <c r="F1549"/>
      <c r="G1549"/>
      <c r="H1549"/>
      <c r="I1549"/>
      <c r="J1549"/>
      <c r="K1549"/>
      <c r="L1549" s="14"/>
      <c r="M1549"/>
      <c r="N1549"/>
      <c r="O1549"/>
      <c r="P1549"/>
    </row>
    <row r="1550" spans="1:16" x14ac:dyDescent="0.25">
      <c r="A1550"/>
      <c r="B1550"/>
      <c r="C1550"/>
      <c r="D1550"/>
      <c r="E1550"/>
      <c r="F1550"/>
      <c r="G1550"/>
      <c r="H1550"/>
      <c r="I1550"/>
      <c r="J1550"/>
      <c r="K1550"/>
      <c r="L1550" s="14"/>
      <c r="M1550"/>
      <c r="N1550"/>
      <c r="O1550"/>
      <c r="P1550"/>
    </row>
    <row r="1551" spans="1:16" x14ac:dyDescent="0.25">
      <c r="A1551"/>
      <c r="B1551"/>
      <c r="C1551"/>
      <c r="D1551"/>
      <c r="E1551"/>
      <c r="F1551"/>
      <c r="G1551"/>
      <c r="H1551"/>
      <c r="I1551"/>
      <c r="J1551"/>
      <c r="K1551"/>
      <c r="L1551" s="14"/>
      <c r="M1551"/>
      <c r="N1551"/>
      <c r="O1551"/>
      <c r="P1551"/>
    </row>
    <row r="1552" spans="1:16" x14ac:dyDescent="0.25">
      <c r="A1552"/>
      <c r="B1552"/>
      <c r="C1552"/>
      <c r="D1552"/>
      <c r="E1552"/>
      <c r="F1552"/>
      <c r="G1552"/>
      <c r="H1552"/>
      <c r="I1552"/>
      <c r="J1552"/>
      <c r="K1552"/>
      <c r="L1552" s="14"/>
      <c r="M1552"/>
      <c r="N1552"/>
      <c r="O1552"/>
      <c r="P1552"/>
    </row>
    <row r="1553" spans="1:16" x14ac:dyDescent="0.25">
      <c r="A1553"/>
      <c r="B1553"/>
      <c r="C1553"/>
      <c r="D1553"/>
      <c r="E1553"/>
      <c r="F1553"/>
      <c r="G1553"/>
      <c r="H1553"/>
      <c r="I1553"/>
      <c r="J1553"/>
      <c r="K1553"/>
      <c r="L1553" s="14"/>
      <c r="M1553"/>
      <c r="N1553"/>
      <c r="O1553"/>
      <c r="P1553"/>
    </row>
    <row r="1554" spans="1:16" x14ac:dyDescent="0.25">
      <c r="A1554"/>
      <c r="B1554"/>
      <c r="C1554"/>
      <c r="D1554"/>
      <c r="E1554"/>
      <c r="F1554"/>
      <c r="G1554"/>
      <c r="H1554"/>
      <c r="I1554"/>
      <c r="J1554"/>
      <c r="K1554"/>
      <c r="L1554" s="14"/>
      <c r="M1554"/>
      <c r="N1554"/>
      <c r="O1554"/>
      <c r="P1554"/>
    </row>
    <row r="1555" spans="1:16" x14ac:dyDescent="0.25">
      <c r="A1555"/>
      <c r="B1555"/>
      <c r="C1555"/>
      <c r="D1555"/>
      <c r="E1555"/>
      <c r="F1555"/>
      <c r="G1555"/>
      <c r="H1555"/>
      <c r="I1555"/>
      <c r="J1555"/>
      <c r="K1555"/>
      <c r="L1555" s="14"/>
      <c r="M1555"/>
      <c r="N1555"/>
      <c r="O1555"/>
      <c r="P1555"/>
    </row>
    <row r="1556" spans="1:16" x14ac:dyDescent="0.25">
      <c r="A1556"/>
      <c r="B1556"/>
      <c r="C1556"/>
      <c r="D1556"/>
      <c r="E1556"/>
      <c r="F1556"/>
      <c r="G1556"/>
      <c r="H1556"/>
      <c r="I1556"/>
      <c r="J1556"/>
      <c r="K1556"/>
      <c r="L1556" s="14"/>
      <c r="M1556"/>
      <c r="N1556"/>
      <c r="O1556"/>
      <c r="P1556"/>
    </row>
    <row r="1557" spans="1:16" x14ac:dyDescent="0.25">
      <c r="A1557"/>
      <c r="B1557"/>
      <c r="C1557"/>
      <c r="D1557"/>
      <c r="E1557"/>
      <c r="F1557"/>
      <c r="G1557"/>
      <c r="H1557"/>
      <c r="I1557"/>
      <c r="J1557"/>
      <c r="K1557"/>
      <c r="L1557" s="14"/>
      <c r="M1557"/>
      <c r="N1557"/>
      <c r="O1557"/>
      <c r="P1557"/>
    </row>
    <row r="1558" spans="1:16" x14ac:dyDescent="0.25">
      <c r="A1558"/>
      <c r="B1558"/>
      <c r="C1558"/>
      <c r="D1558"/>
      <c r="E1558"/>
      <c r="F1558"/>
      <c r="G1558"/>
      <c r="H1558"/>
      <c r="I1558"/>
      <c r="J1558"/>
      <c r="K1558"/>
      <c r="L1558" s="14"/>
      <c r="M1558"/>
      <c r="N1558"/>
      <c r="O1558"/>
      <c r="P1558"/>
    </row>
    <row r="1559" spans="1:16" x14ac:dyDescent="0.25">
      <c r="A1559"/>
      <c r="B1559"/>
      <c r="C1559"/>
      <c r="D1559"/>
      <c r="E1559"/>
      <c r="F1559"/>
      <c r="G1559"/>
      <c r="H1559"/>
      <c r="I1559"/>
      <c r="J1559"/>
      <c r="K1559"/>
      <c r="L1559" s="14"/>
      <c r="M1559"/>
      <c r="N1559"/>
      <c r="O1559"/>
      <c r="P1559"/>
    </row>
    <row r="1560" spans="1:16" x14ac:dyDescent="0.25">
      <c r="A1560"/>
      <c r="B1560"/>
      <c r="C1560"/>
      <c r="D1560"/>
      <c r="E1560"/>
      <c r="F1560"/>
      <c r="G1560"/>
      <c r="H1560"/>
      <c r="I1560"/>
      <c r="J1560"/>
      <c r="K1560"/>
      <c r="L1560" s="14"/>
      <c r="M1560"/>
      <c r="N1560"/>
      <c r="O1560"/>
      <c r="P1560"/>
    </row>
    <row r="1561" spans="1:16" x14ac:dyDescent="0.25">
      <c r="A1561"/>
      <c r="B1561"/>
      <c r="C1561"/>
      <c r="D1561"/>
      <c r="E1561"/>
      <c r="F1561"/>
      <c r="G1561"/>
      <c r="H1561"/>
      <c r="I1561"/>
      <c r="J1561"/>
      <c r="K1561"/>
      <c r="L1561" s="14"/>
      <c r="M1561"/>
      <c r="N1561"/>
      <c r="O1561"/>
      <c r="P1561"/>
    </row>
    <row r="1562" spans="1:16" x14ac:dyDescent="0.25">
      <c r="A1562"/>
      <c r="B1562"/>
      <c r="C1562"/>
      <c r="D1562"/>
      <c r="E1562"/>
      <c r="F1562"/>
      <c r="G1562"/>
      <c r="H1562"/>
      <c r="I1562"/>
      <c r="J1562"/>
      <c r="K1562"/>
      <c r="L1562" s="14"/>
      <c r="M1562"/>
      <c r="N1562"/>
      <c r="O1562"/>
      <c r="P1562"/>
    </row>
    <row r="1563" spans="1:16" x14ac:dyDescent="0.25">
      <c r="A1563"/>
      <c r="B1563"/>
      <c r="C1563"/>
      <c r="D1563"/>
      <c r="E1563"/>
      <c r="F1563"/>
      <c r="G1563"/>
      <c r="H1563"/>
      <c r="I1563"/>
      <c r="J1563"/>
      <c r="K1563"/>
      <c r="L1563" s="14"/>
      <c r="M1563"/>
      <c r="N1563"/>
      <c r="O1563"/>
      <c r="P1563"/>
    </row>
    <row r="1564" spans="1:16" x14ac:dyDescent="0.25">
      <c r="A1564"/>
      <c r="B1564"/>
      <c r="C1564"/>
      <c r="D1564"/>
      <c r="E1564"/>
      <c r="F1564"/>
      <c r="G1564"/>
      <c r="H1564"/>
      <c r="I1564"/>
      <c r="J1564"/>
      <c r="K1564"/>
      <c r="L1564" s="14"/>
      <c r="M1564"/>
      <c r="N1564"/>
      <c r="O1564"/>
      <c r="P1564"/>
    </row>
    <row r="1565" spans="1:16" x14ac:dyDescent="0.25">
      <c r="A1565"/>
      <c r="B1565"/>
      <c r="C1565"/>
      <c r="D1565"/>
      <c r="E1565"/>
      <c r="F1565"/>
      <c r="G1565"/>
      <c r="H1565"/>
      <c r="I1565"/>
      <c r="J1565"/>
      <c r="K1565"/>
      <c r="L1565" s="14"/>
      <c r="M1565"/>
      <c r="N1565"/>
      <c r="O1565"/>
      <c r="P1565"/>
    </row>
    <row r="1566" spans="1:16" x14ac:dyDescent="0.25">
      <c r="A1566"/>
      <c r="B1566"/>
      <c r="C1566"/>
      <c r="D1566"/>
      <c r="E1566"/>
      <c r="F1566"/>
      <c r="G1566"/>
      <c r="H1566"/>
      <c r="I1566"/>
      <c r="J1566"/>
      <c r="K1566"/>
      <c r="L1566" s="14"/>
      <c r="M1566"/>
      <c r="N1566"/>
      <c r="O1566"/>
      <c r="P1566"/>
    </row>
    <row r="1567" spans="1:16" x14ac:dyDescent="0.25">
      <c r="A1567"/>
      <c r="B1567"/>
      <c r="C1567"/>
      <c r="D1567"/>
      <c r="E1567"/>
      <c r="F1567"/>
      <c r="G1567"/>
      <c r="H1567"/>
      <c r="I1567"/>
      <c r="J1567"/>
      <c r="K1567"/>
      <c r="L1567" s="14"/>
      <c r="M1567"/>
      <c r="N1567"/>
      <c r="O1567"/>
      <c r="P1567"/>
    </row>
    <row r="1568" spans="1:16" x14ac:dyDescent="0.25">
      <c r="A1568"/>
      <c r="B1568"/>
      <c r="C1568"/>
      <c r="D1568"/>
      <c r="E1568"/>
      <c r="F1568"/>
      <c r="G1568"/>
      <c r="H1568"/>
      <c r="I1568"/>
      <c r="J1568"/>
      <c r="K1568"/>
      <c r="L1568" s="14"/>
      <c r="M1568"/>
      <c r="N1568"/>
      <c r="O1568"/>
      <c r="P1568"/>
    </row>
    <row r="1569" spans="1:16" x14ac:dyDescent="0.25">
      <c r="A1569"/>
      <c r="B1569"/>
      <c r="C1569"/>
      <c r="D1569"/>
      <c r="E1569"/>
      <c r="F1569"/>
      <c r="G1569"/>
      <c r="H1569"/>
      <c r="I1569"/>
      <c r="J1569"/>
      <c r="K1569"/>
      <c r="L1569" s="14"/>
      <c r="M1569"/>
      <c r="N1569"/>
      <c r="O1569"/>
      <c r="P1569"/>
    </row>
    <row r="1570" spans="1:16" x14ac:dyDescent="0.25">
      <c r="A1570"/>
      <c r="B1570"/>
      <c r="C1570"/>
      <c r="D1570"/>
      <c r="E1570"/>
      <c r="F1570"/>
      <c r="G1570"/>
      <c r="H1570"/>
      <c r="I1570"/>
      <c r="J1570"/>
      <c r="K1570"/>
      <c r="L1570" s="14"/>
      <c r="M1570"/>
      <c r="N1570"/>
      <c r="O1570"/>
      <c r="P1570"/>
    </row>
    <row r="1571" spans="1:16" x14ac:dyDescent="0.25">
      <c r="A1571"/>
      <c r="B1571"/>
      <c r="C1571"/>
      <c r="D1571"/>
      <c r="E1571"/>
      <c r="F1571"/>
      <c r="G1571"/>
      <c r="H1571"/>
      <c r="I1571"/>
      <c r="J1571"/>
      <c r="K1571"/>
      <c r="L1571" s="14"/>
      <c r="M1571"/>
      <c r="N1571"/>
      <c r="O1571"/>
      <c r="P1571"/>
    </row>
    <row r="1572" spans="1:16" x14ac:dyDescent="0.25">
      <c r="A1572"/>
      <c r="B1572"/>
      <c r="C1572"/>
      <c r="D1572"/>
      <c r="E1572"/>
      <c r="F1572"/>
      <c r="G1572"/>
      <c r="H1572"/>
      <c r="I1572"/>
      <c r="J1572"/>
      <c r="K1572"/>
      <c r="L1572" s="14"/>
      <c r="M1572"/>
      <c r="N1572"/>
      <c r="O1572"/>
      <c r="P1572"/>
    </row>
    <row r="1573" spans="1:16" x14ac:dyDescent="0.25">
      <c r="A1573"/>
      <c r="B1573"/>
      <c r="C1573"/>
      <c r="D1573"/>
      <c r="E1573"/>
      <c r="F1573"/>
      <c r="G1573"/>
      <c r="H1573"/>
      <c r="I1573"/>
      <c r="J1573"/>
      <c r="K1573"/>
      <c r="L1573" s="14"/>
      <c r="M1573"/>
      <c r="N1573"/>
      <c r="O1573"/>
      <c r="P1573"/>
    </row>
    <row r="1574" spans="1:16" x14ac:dyDescent="0.25">
      <c r="A1574"/>
      <c r="B1574"/>
      <c r="C1574"/>
      <c r="D1574"/>
      <c r="E1574"/>
      <c r="F1574"/>
      <c r="G1574"/>
      <c r="H1574"/>
      <c r="I1574"/>
      <c r="J1574"/>
      <c r="K1574"/>
      <c r="L1574" s="14"/>
      <c r="M1574"/>
      <c r="N1574"/>
      <c r="O1574"/>
      <c r="P1574"/>
    </row>
    <row r="1575" spans="1:16" x14ac:dyDescent="0.25">
      <c r="A1575"/>
      <c r="B1575"/>
      <c r="C1575"/>
      <c r="D1575"/>
      <c r="E1575"/>
      <c r="F1575"/>
      <c r="G1575"/>
      <c r="H1575"/>
      <c r="I1575"/>
      <c r="J1575"/>
      <c r="K1575"/>
      <c r="L1575" s="14"/>
      <c r="M1575"/>
      <c r="N1575"/>
      <c r="O1575"/>
      <c r="P1575"/>
    </row>
    <row r="1576" spans="1:16" x14ac:dyDescent="0.25">
      <c r="A1576"/>
      <c r="B1576"/>
      <c r="C1576"/>
      <c r="D1576"/>
      <c r="E1576"/>
      <c r="F1576"/>
      <c r="G1576"/>
      <c r="H1576"/>
      <c r="I1576"/>
      <c r="J1576"/>
      <c r="K1576"/>
      <c r="L1576" s="14"/>
      <c r="M1576"/>
      <c r="N1576"/>
      <c r="O1576"/>
      <c r="P1576"/>
    </row>
    <row r="1577" spans="1:16" x14ac:dyDescent="0.25">
      <c r="A1577"/>
      <c r="B1577"/>
      <c r="C1577"/>
      <c r="D1577"/>
      <c r="E1577"/>
      <c r="F1577"/>
      <c r="G1577"/>
      <c r="H1577"/>
      <c r="I1577"/>
      <c r="J1577"/>
      <c r="K1577"/>
      <c r="L1577" s="14"/>
      <c r="M1577"/>
      <c r="N1577"/>
      <c r="O1577"/>
      <c r="P1577"/>
    </row>
    <row r="1578" spans="1:16" x14ac:dyDescent="0.25">
      <c r="A1578"/>
      <c r="B1578"/>
      <c r="C1578"/>
      <c r="D1578"/>
      <c r="E1578"/>
      <c r="F1578"/>
      <c r="G1578"/>
      <c r="H1578"/>
      <c r="I1578"/>
      <c r="J1578"/>
      <c r="K1578"/>
      <c r="L1578" s="14"/>
      <c r="M1578"/>
      <c r="N1578"/>
      <c r="O1578"/>
      <c r="P1578"/>
    </row>
    <row r="1579" spans="1:16" x14ac:dyDescent="0.25">
      <c r="A1579"/>
      <c r="B1579"/>
      <c r="C1579"/>
      <c r="D1579"/>
      <c r="E1579"/>
      <c r="F1579"/>
      <c r="G1579"/>
      <c r="H1579"/>
      <c r="I1579"/>
      <c r="J1579"/>
      <c r="K1579"/>
      <c r="L1579" s="14"/>
      <c r="M1579"/>
      <c r="N1579"/>
      <c r="O1579"/>
      <c r="P1579"/>
    </row>
    <row r="1580" spans="1:16" x14ac:dyDescent="0.25">
      <c r="A1580"/>
      <c r="B1580"/>
      <c r="C1580"/>
      <c r="D1580"/>
      <c r="E1580"/>
      <c r="F1580"/>
      <c r="G1580"/>
      <c r="H1580"/>
      <c r="I1580"/>
      <c r="J1580"/>
      <c r="K1580"/>
      <c r="L1580" s="14"/>
      <c r="M1580"/>
      <c r="N1580"/>
      <c r="O1580"/>
      <c r="P1580"/>
    </row>
    <row r="1581" spans="1:16" x14ac:dyDescent="0.25">
      <c r="A1581"/>
      <c r="B1581"/>
      <c r="C1581"/>
      <c r="D1581"/>
      <c r="E1581"/>
      <c r="F1581"/>
      <c r="G1581"/>
      <c r="H1581"/>
      <c r="I1581"/>
      <c r="J1581"/>
      <c r="K1581"/>
      <c r="L1581" s="14"/>
      <c r="M1581"/>
      <c r="N1581"/>
      <c r="O1581"/>
      <c r="P1581"/>
    </row>
    <row r="1582" spans="1:16" x14ac:dyDescent="0.25">
      <c r="A1582"/>
      <c r="B1582"/>
      <c r="C1582"/>
      <c r="D1582"/>
      <c r="E1582"/>
      <c r="F1582"/>
      <c r="G1582"/>
      <c r="H1582"/>
      <c r="I1582"/>
      <c r="J1582"/>
      <c r="K1582"/>
      <c r="L1582" s="14"/>
      <c r="M1582"/>
      <c r="N1582"/>
      <c r="O1582"/>
      <c r="P1582"/>
    </row>
    <row r="1583" spans="1:16" x14ac:dyDescent="0.25">
      <c r="A1583"/>
      <c r="B1583"/>
      <c r="C1583"/>
      <c r="D1583"/>
      <c r="E1583"/>
      <c r="F1583"/>
      <c r="G1583"/>
      <c r="H1583"/>
      <c r="I1583"/>
      <c r="J1583"/>
      <c r="K1583"/>
      <c r="L1583" s="14"/>
      <c r="M1583"/>
      <c r="N1583"/>
      <c r="O1583"/>
      <c r="P1583"/>
    </row>
    <row r="1584" spans="1:16" x14ac:dyDescent="0.25">
      <c r="A1584"/>
      <c r="B1584"/>
      <c r="C1584"/>
      <c r="D1584"/>
      <c r="E1584"/>
      <c r="F1584"/>
      <c r="G1584"/>
      <c r="H1584"/>
      <c r="I1584"/>
      <c r="J1584"/>
      <c r="K1584"/>
      <c r="L1584" s="14"/>
      <c r="M1584"/>
      <c r="N1584"/>
      <c r="O1584"/>
      <c r="P1584"/>
    </row>
    <row r="1585" spans="1:16" x14ac:dyDescent="0.25">
      <c r="A1585"/>
      <c r="B1585"/>
      <c r="C1585"/>
      <c r="D1585"/>
      <c r="E1585"/>
      <c r="F1585"/>
      <c r="G1585"/>
      <c r="H1585"/>
      <c r="I1585"/>
      <c r="J1585"/>
      <c r="K1585"/>
      <c r="L1585" s="14"/>
      <c r="M1585"/>
      <c r="N1585"/>
      <c r="O1585"/>
      <c r="P1585"/>
    </row>
    <row r="1586" spans="1:16" x14ac:dyDescent="0.25">
      <c r="A1586"/>
      <c r="B1586"/>
      <c r="C1586"/>
      <c r="D1586"/>
      <c r="E1586"/>
      <c r="F1586"/>
      <c r="G1586"/>
      <c r="H1586"/>
      <c r="I1586"/>
      <c r="J1586"/>
      <c r="K1586"/>
      <c r="L1586" s="14"/>
      <c r="M1586"/>
      <c r="N1586"/>
      <c r="O1586"/>
      <c r="P1586"/>
    </row>
    <row r="1587" spans="1:16" x14ac:dyDescent="0.25">
      <c r="A1587"/>
      <c r="B1587"/>
      <c r="C1587"/>
      <c r="D1587"/>
      <c r="E1587"/>
      <c r="F1587"/>
      <c r="G1587"/>
      <c r="H1587"/>
      <c r="I1587"/>
      <c r="J1587"/>
      <c r="K1587"/>
      <c r="L1587" s="14"/>
      <c r="M1587"/>
      <c r="N1587"/>
      <c r="O1587"/>
      <c r="P1587"/>
    </row>
    <row r="1588" spans="1:16" x14ac:dyDescent="0.25">
      <c r="A1588"/>
      <c r="B1588"/>
      <c r="C1588"/>
      <c r="D1588"/>
      <c r="E1588"/>
      <c r="F1588"/>
      <c r="G1588"/>
      <c r="H1588"/>
      <c r="I1588"/>
      <c r="J1588"/>
      <c r="K1588"/>
      <c r="L1588" s="14"/>
      <c r="M1588"/>
      <c r="N1588"/>
      <c r="O1588"/>
      <c r="P1588"/>
    </row>
    <row r="1589" spans="1:16" x14ac:dyDescent="0.25">
      <c r="A1589"/>
      <c r="B1589"/>
      <c r="C1589"/>
      <c r="D1589"/>
      <c r="E1589"/>
      <c r="F1589"/>
      <c r="G1589"/>
      <c r="H1589"/>
      <c r="I1589"/>
      <c r="J1589"/>
      <c r="K1589"/>
      <c r="L1589" s="14"/>
      <c r="M1589"/>
      <c r="N1589"/>
      <c r="O1589"/>
      <c r="P1589"/>
    </row>
    <row r="1590" spans="1:16" x14ac:dyDescent="0.25">
      <c r="A1590"/>
      <c r="B1590"/>
      <c r="C1590"/>
      <c r="D1590"/>
      <c r="E1590"/>
      <c r="F1590"/>
      <c r="G1590"/>
      <c r="H1590"/>
      <c r="I1590"/>
      <c r="J1590"/>
      <c r="K1590"/>
      <c r="L1590" s="14"/>
      <c r="M1590"/>
      <c r="N1590"/>
      <c r="O1590"/>
      <c r="P1590"/>
    </row>
    <row r="1591" spans="1:16" x14ac:dyDescent="0.25">
      <c r="A1591"/>
      <c r="B1591"/>
      <c r="C1591"/>
      <c r="D1591"/>
      <c r="E1591"/>
      <c r="F1591"/>
      <c r="G1591"/>
      <c r="H1591"/>
      <c r="I1591"/>
      <c r="J1591"/>
      <c r="K1591"/>
      <c r="L1591" s="14"/>
      <c r="M1591"/>
      <c r="N1591"/>
      <c r="O1591"/>
      <c r="P1591"/>
    </row>
    <row r="1592" spans="1:16" x14ac:dyDescent="0.25">
      <c r="A1592"/>
      <c r="B1592"/>
      <c r="C1592"/>
      <c r="D1592"/>
      <c r="E1592"/>
      <c r="F1592"/>
      <c r="G1592"/>
      <c r="H1592"/>
      <c r="I1592"/>
      <c r="J1592"/>
      <c r="K1592"/>
      <c r="L1592" s="14"/>
      <c r="M1592"/>
      <c r="N1592"/>
      <c r="O1592"/>
      <c r="P1592"/>
    </row>
    <row r="1593" spans="1:16" x14ac:dyDescent="0.25">
      <c r="A1593"/>
      <c r="B1593"/>
      <c r="C1593"/>
      <c r="D1593"/>
      <c r="E1593"/>
      <c r="F1593"/>
      <c r="G1593"/>
      <c r="H1593"/>
      <c r="I1593"/>
      <c r="J1593"/>
      <c r="K1593"/>
      <c r="L1593" s="14"/>
      <c r="M1593"/>
      <c r="N1593"/>
      <c r="O1593"/>
      <c r="P1593"/>
    </row>
    <row r="1594" spans="1:16" x14ac:dyDescent="0.25">
      <c r="A1594"/>
      <c r="B1594"/>
      <c r="C1594"/>
      <c r="D1594"/>
      <c r="E1594"/>
      <c r="F1594"/>
      <c r="G1594"/>
      <c r="H1594"/>
      <c r="I1594"/>
      <c r="J1594"/>
      <c r="K1594"/>
      <c r="L1594" s="14"/>
      <c r="M1594"/>
      <c r="N1594"/>
      <c r="O1594"/>
      <c r="P1594"/>
    </row>
    <row r="1595" spans="1:16" x14ac:dyDescent="0.25">
      <c r="A1595"/>
      <c r="B1595"/>
      <c r="C1595"/>
      <c r="D1595"/>
      <c r="E1595"/>
      <c r="F1595"/>
      <c r="G1595"/>
      <c r="H1595"/>
      <c r="I1595"/>
      <c r="J1595"/>
      <c r="K1595"/>
      <c r="L1595" s="14"/>
      <c r="M1595"/>
      <c r="N1595"/>
      <c r="O1595"/>
      <c r="P1595"/>
    </row>
    <row r="1596" spans="1:16" x14ac:dyDescent="0.25">
      <c r="A1596"/>
      <c r="B1596"/>
      <c r="C1596"/>
      <c r="D1596"/>
      <c r="E1596"/>
      <c r="F1596"/>
      <c r="G1596"/>
      <c r="H1596"/>
      <c r="I1596"/>
      <c r="J1596"/>
      <c r="K1596"/>
      <c r="L1596" s="14"/>
      <c r="M1596"/>
      <c r="N1596"/>
      <c r="O1596"/>
      <c r="P1596"/>
    </row>
    <row r="1597" spans="1:16" x14ac:dyDescent="0.25">
      <c r="A1597"/>
      <c r="B1597"/>
      <c r="C1597"/>
      <c r="D1597"/>
      <c r="E1597"/>
      <c r="F1597"/>
      <c r="G1597"/>
      <c r="H1597"/>
      <c r="I1597"/>
      <c r="J1597"/>
      <c r="K1597"/>
      <c r="L1597" s="14"/>
      <c r="M1597"/>
      <c r="N1597"/>
      <c r="O1597"/>
      <c r="P1597"/>
    </row>
    <row r="1598" spans="1:16" x14ac:dyDescent="0.25">
      <c r="A1598"/>
      <c r="B1598"/>
      <c r="C1598"/>
      <c r="D1598"/>
      <c r="E1598"/>
      <c r="F1598"/>
      <c r="G1598"/>
      <c r="H1598"/>
      <c r="I1598"/>
      <c r="J1598"/>
      <c r="K1598"/>
      <c r="L1598" s="14"/>
      <c r="M1598"/>
      <c r="N1598"/>
      <c r="O1598"/>
      <c r="P1598"/>
    </row>
    <row r="1599" spans="1:16" x14ac:dyDescent="0.25">
      <c r="A1599"/>
      <c r="B1599"/>
      <c r="C1599"/>
      <c r="D1599"/>
      <c r="E1599"/>
      <c r="F1599"/>
      <c r="G1599"/>
      <c r="H1599"/>
      <c r="I1599"/>
      <c r="J1599"/>
      <c r="K1599"/>
      <c r="L1599" s="14"/>
      <c r="M1599"/>
      <c r="N1599"/>
      <c r="O1599"/>
      <c r="P1599"/>
    </row>
    <row r="1600" spans="1:16" x14ac:dyDescent="0.25">
      <c r="A1600"/>
      <c r="B1600"/>
      <c r="C1600"/>
      <c r="D1600"/>
      <c r="E1600"/>
      <c r="F1600"/>
      <c r="G1600"/>
      <c r="H1600"/>
      <c r="I1600"/>
      <c r="J1600"/>
      <c r="K1600"/>
      <c r="L1600" s="14"/>
      <c r="M1600"/>
      <c r="N1600"/>
      <c r="O1600"/>
      <c r="P1600"/>
    </row>
    <row r="1601" spans="1:16" x14ac:dyDescent="0.25">
      <c r="A1601"/>
      <c r="B1601"/>
      <c r="C1601"/>
      <c r="D1601"/>
      <c r="E1601"/>
      <c r="F1601"/>
      <c r="G1601"/>
      <c r="H1601"/>
      <c r="I1601"/>
      <c r="J1601"/>
      <c r="K1601"/>
      <c r="L1601" s="14"/>
      <c r="M1601"/>
      <c r="N1601"/>
      <c r="O1601"/>
      <c r="P1601"/>
    </row>
    <row r="1602" spans="1:16" x14ac:dyDescent="0.25">
      <c r="A1602"/>
      <c r="B1602"/>
      <c r="C1602"/>
      <c r="D1602"/>
      <c r="E1602"/>
      <c r="F1602"/>
      <c r="G1602"/>
      <c r="H1602"/>
      <c r="I1602"/>
      <c r="J1602"/>
      <c r="K1602"/>
      <c r="L1602" s="14"/>
      <c r="M1602"/>
      <c r="N1602"/>
      <c r="O1602"/>
      <c r="P1602"/>
    </row>
    <row r="1603" spans="1:16" x14ac:dyDescent="0.25">
      <c r="A1603"/>
      <c r="B1603"/>
      <c r="C1603"/>
      <c r="D1603"/>
      <c r="E1603"/>
      <c r="F1603"/>
      <c r="G1603"/>
      <c r="H1603"/>
      <c r="I1603"/>
      <c r="J1603"/>
      <c r="K1603"/>
      <c r="L1603" s="14"/>
      <c r="M1603"/>
      <c r="N1603"/>
      <c r="O1603"/>
      <c r="P1603"/>
    </row>
    <row r="1604" spans="1:16" x14ac:dyDescent="0.25">
      <c r="A1604"/>
      <c r="B1604"/>
      <c r="C1604"/>
      <c r="D1604"/>
      <c r="E1604"/>
      <c r="F1604"/>
      <c r="G1604"/>
      <c r="H1604"/>
      <c r="I1604"/>
      <c r="J1604"/>
      <c r="K1604"/>
      <c r="L1604" s="14"/>
      <c r="M1604"/>
      <c r="N1604"/>
      <c r="O1604"/>
      <c r="P1604"/>
    </row>
    <row r="1605" spans="1:16" x14ac:dyDescent="0.25">
      <c r="A1605"/>
      <c r="B1605"/>
      <c r="C1605"/>
      <c r="D1605"/>
      <c r="E1605"/>
      <c r="F1605"/>
      <c r="G1605"/>
      <c r="H1605"/>
      <c r="I1605"/>
      <c r="J1605"/>
      <c r="K1605"/>
      <c r="L1605" s="14"/>
      <c r="M1605"/>
      <c r="N1605"/>
      <c r="O1605"/>
      <c r="P1605"/>
    </row>
    <row r="1606" spans="1:16" x14ac:dyDescent="0.25">
      <c r="A1606"/>
      <c r="B1606"/>
      <c r="C1606"/>
      <c r="D1606"/>
      <c r="E1606"/>
      <c r="F1606"/>
      <c r="G1606"/>
      <c r="H1606"/>
      <c r="I1606"/>
      <c r="J1606"/>
      <c r="K1606"/>
      <c r="L1606" s="14"/>
      <c r="M1606"/>
      <c r="N1606"/>
      <c r="O1606"/>
      <c r="P1606"/>
    </row>
    <row r="1607" spans="1:16" x14ac:dyDescent="0.25">
      <c r="A1607"/>
      <c r="B1607"/>
      <c r="C1607"/>
      <c r="D1607"/>
      <c r="E1607"/>
      <c r="F1607"/>
      <c r="G1607"/>
      <c r="H1607"/>
      <c r="I1607"/>
      <c r="J1607"/>
      <c r="K1607"/>
      <c r="L1607" s="14"/>
      <c r="M1607"/>
      <c r="N1607"/>
      <c r="O1607"/>
      <c r="P1607"/>
    </row>
    <row r="1608" spans="1:16" x14ac:dyDescent="0.25">
      <c r="A1608"/>
      <c r="B1608"/>
      <c r="C1608"/>
      <c r="D1608"/>
      <c r="E1608"/>
      <c r="F1608"/>
      <c r="G1608"/>
      <c r="H1608"/>
      <c r="I1608"/>
      <c r="J1608"/>
      <c r="K1608"/>
      <c r="L1608" s="14"/>
      <c r="M1608"/>
      <c r="N1608"/>
      <c r="O1608"/>
      <c r="P1608"/>
    </row>
    <row r="1609" spans="1:16" x14ac:dyDescent="0.25">
      <c r="A1609"/>
      <c r="B1609"/>
      <c r="C1609"/>
      <c r="D1609"/>
      <c r="E1609"/>
      <c r="F1609"/>
      <c r="G1609"/>
      <c r="H1609"/>
      <c r="I1609"/>
      <c r="J1609"/>
      <c r="K1609"/>
      <c r="L1609" s="14"/>
      <c r="M1609"/>
      <c r="N1609"/>
      <c r="O1609"/>
      <c r="P1609"/>
    </row>
    <row r="1610" spans="1:16" x14ac:dyDescent="0.25">
      <c r="A1610"/>
      <c r="B1610"/>
      <c r="C1610"/>
      <c r="D1610"/>
      <c r="E1610"/>
      <c r="F1610"/>
      <c r="G1610"/>
      <c r="H1610"/>
      <c r="I1610"/>
      <c r="J1610"/>
      <c r="K1610"/>
      <c r="L1610" s="14"/>
      <c r="M1610"/>
      <c r="N1610"/>
      <c r="O1610"/>
      <c r="P1610"/>
    </row>
    <row r="1611" spans="1:16" x14ac:dyDescent="0.25">
      <c r="A1611"/>
      <c r="B1611"/>
      <c r="C1611"/>
      <c r="D1611"/>
      <c r="E1611"/>
      <c r="F1611"/>
      <c r="G1611"/>
      <c r="H1611"/>
      <c r="I1611"/>
      <c r="J1611"/>
      <c r="K1611"/>
      <c r="L1611" s="14"/>
      <c r="M1611"/>
      <c r="N1611"/>
      <c r="O1611"/>
      <c r="P1611"/>
    </row>
    <row r="1612" spans="1:16" x14ac:dyDescent="0.25">
      <c r="A1612"/>
      <c r="B1612"/>
      <c r="C1612"/>
      <c r="D1612"/>
      <c r="E1612"/>
      <c r="F1612"/>
      <c r="G1612"/>
      <c r="H1612"/>
      <c r="I1612"/>
      <c r="J1612"/>
      <c r="K1612"/>
      <c r="L1612" s="14"/>
      <c r="M1612"/>
      <c r="N1612"/>
      <c r="O1612"/>
      <c r="P1612"/>
    </row>
    <row r="1613" spans="1:16" x14ac:dyDescent="0.25">
      <c r="A1613"/>
      <c r="B1613"/>
      <c r="C1613"/>
      <c r="D1613"/>
      <c r="E1613"/>
      <c r="F1613"/>
      <c r="G1613"/>
      <c r="H1613"/>
      <c r="I1613"/>
      <c r="J1613"/>
      <c r="K1613"/>
      <c r="L1613" s="14"/>
      <c r="M1613"/>
      <c r="N1613"/>
      <c r="O1613"/>
      <c r="P1613"/>
    </row>
    <row r="1614" spans="1:16" x14ac:dyDescent="0.25">
      <c r="A1614"/>
      <c r="B1614"/>
      <c r="C1614"/>
      <c r="D1614"/>
      <c r="E1614"/>
      <c r="F1614"/>
      <c r="G1614"/>
      <c r="H1614"/>
      <c r="I1614"/>
      <c r="J1614"/>
      <c r="K1614"/>
      <c r="L1614" s="14"/>
      <c r="M1614"/>
      <c r="N1614"/>
      <c r="O1614"/>
      <c r="P1614"/>
    </row>
    <row r="1615" spans="1:16" x14ac:dyDescent="0.25">
      <c r="A1615"/>
      <c r="B1615"/>
      <c r="C1615"/>
      <c r="D1615"/>
      <c r="E1615"/>
      <c r="F1615"/>
      <c r="G1615"/>
      <c r="H1615"/>
      <c r="I1615"/>
      <c r="J1615"/>
      <c r="K1615"/>
      <c r="L1615" s="14"/>
      <c r="M1615"/>
      <c r="N1615"/>
      <c r="O1615"/>
      <c r="P1615"/>
    </row>
    <row r="1616" spans="1:16" x14ac:dyDescent="0.25">
      <c r="A1616"/>
      <c r="B1616"/>
      <c r="C1616"/>
      <c r="D1616"/>
      <c r="E1616"/>
      <c r="F1616"/>
      <c r="G1616"/>
      <c r="H1616"/>
      <c r="I1616"/>
      <c r="J1616"/>
      <c r="K1616"/>
      <c r="L1616" s="14"/>
      <c r="M1616"/>
      <c r="N1616"/>
      <c r="O1616"/>
      <c r="P1616"/>
    </row>
    <row r="1617" spans="1:16" x14ac:dyDescent="0.25">
      <c r="A1617"/>
      <c r="B1617"/>
      <c r="C1617"/>
      <c r="D1617"/>
      <c r="E1617"/>
      <c r="F1617"/>
      <c r="G1617"/>
      <c r="H1617"/>
      <c r="I1617"/>
      <c r="J1617"/>
      <c r="K1617"/>
      <c r="L1617" s="14"/>
      <c r="M1617"/>
      <c r="N1617"/>
      <c r="O1617"/>
      <c r="P1617"/>
    </row>
    <row r="1618" spans="1:16" x14ac:dyDescent="0.25">
      <c r="A1618"/>
      <c r="B1618"/>
      <c r="C1618"/>
      <c r="D1618"/>
      <c r="E1618"/>
      <c r="F1618"/>
      <c r="G1618"/>
      <c r="H1618"/>
      <c r="I1618"/>
      <c r="J1618"/>
      <c r="K1618"/>
      <c r="L1618" s="14"/>
      <c r="M1618"/>
      <c r="N1618"/>
      <c r="O1618"/>
      <c r="P1618"/>
    </row>
    <row r="1619" spans="1:16" x14ac:dyDescent="0.25">
      <c r="A1619"/>
      <c r="B1619"/>
      <c r="C1619"/>
      <c r="D1619"/>
      <c r="E1619"/>
      <c r="F1619"/>
      <c r="G1619"/>
      <c r="H1619"/>
      <c r="I1619"/>
      <c r="J1619"/>
      <c r="K1619"/>
      <c r="L1619" s="14"/>
      <c r="M1619"/>
      <c r="N1619"/>
      <c r="O1619"/>
      <c r="P1619"/>
    </row>
    <row r="1620" spans="1:16" x14ac:dyDescent="0.25">
      <c r="A1620"/>
      <c r="B1620"/>
      <c r="C1620"/>
      <c r="D1620"/>
      <c r="E1620"/>
      <c r="F1620"/>
      <c r="G1620"/>
      <c r="H1620"/>
      <c r="I1620"/>
      <c r="J1620"/>
      <c r="K1620"/>
      <c r="L1620" s="14"/>
      <c r="M1620"/>
      <c r="N1620"/>
      <c r="O1620"/>
      <c r="P1620"/>
    </row>
    <row r="1621" spans="1:16" x14ac:dyDescent="0.25">
      <c r="A1621"/>
      <c r="B1621"/>
      <c r="C1621"/>
      <c r="D1621"/>
      <c r="E1621"/>
      <c r="F1621"/>
      <c r="G1621"/>
      <c r="H1621"/>
      <c r="I1621"/>
      <c r="J1621"/>
      <c r="K1621"/>
      <c r="L1621" s="14"/>
      <c r="M1621"/>
      <c r="N1621"/>
      <c r="O1621"/>
      <c r="P1621"/>
    </row>
    <row r="1622" spans="1:16" x14ac:dyDescent="0.25">
      <c r="A1622"/>
      <c r="B1622"/>
      <c r="C1622"/>
      <c r="D1622"/>
      <c r="E1622"/>
      <c r="F1622"/>
      <c r="G1622"/>
      <c r="H1622"/>
      <c r="I1622"/>
      <c r="J1622"/>
      <c r="K1622"/>
      <c r="L1622" s="14"/>
      <c r="M1622"/>
      <c r="N1622"/>
      <c r="O1622"/>
      <c r="P1622"/>
    </row>
  </sheetData>
  <customSheetViews>
    <customSheetView guid="{5D34E837-02BC-48BE-83FB-ACBC50171292}" scale="80" showGridLines="0">
      <pane ySplit="1" topLeftCell="A2" activePane="bottomLeft" state="frozen"/>
      <selection pane="bottomLeft" activeCell="J11" sqref="J11"/>
      <pageMargins left="0.7" right="0.7" top="0.75" bottom="0.75" header="0.3" footer="0.3"/>
      <pageSetup orientation="portrait" r:id="rId1"/>
    </customSheetView>
  </customSheetViews>
  <conditionalFormatting sqref="N93:N1048576 N1:N47">
    <cfRule type="containsText" dxfId="53" priority="654" operator="containsText" text="Not Met">
      <formula>NOT(ISERROR(SEARCH("Not Met",N1)))</formula>
    </cfRule>
  </conditionalFormatting>
  <conditionalFormatting sqref="C93:C1048576 C1">
    <cfRule type="containsText" dxfId="52" priority="646" operator="containsText" text="G3">
      <formula>NOT(ISERROR(SEARCH("G3",C1)))</formula>
    </cfRule>
    <cfRule type="containsText" dxfId="51" priority="647" operator="containsText" text="G2">
      <formula>NOT(ISERROR(SEARCH("G2",C1)))</formula>
    </cfRule>
    <cfRule type="containsText" dxfId="50" priority="648" operator="containsText" text="G1">
      <formula>NOT(ISERROR(SEARCH("G1",C1)))</formula>
    </cfRule>
  </conditionalFormatting>
  <conditionalFormatting sqref="C32:C38">
    <cfRule type="containsText" dxfId="49" priority="122" operator="containsText" text="G3">
      <formula>NOT(ISERROR(SEARCH("G3",C32)))</formula>
    </cfRule>
    <cfRule type="containsText" dxfId="48" priority="123" operator="containsText" text="G2">
      <formula>NOT(ISERROR(SEARCH("G2",C32)))</formula>
    </cfRule>
    <cfRule type="containsText" dxfId="47" priority="124" operator="containsText" text="G1">
      <formula>NOT(ISERROR(SEARCH("G1",C32)))</formula>
    </cfRule>
  </conditionalFormatting>
  <conditionalFormatting sqref="C39:C47">
    <cfRule type="containsText" dxfId="46" priority="117" operator="containsText" text="G3">
      <formula>NOT(ISERROR(SEARCH("G3",C39)))</formula>
    </cfRule>
    <cfRule type="containsText" dxfId="45" priority="118" operator="containsText" text="G2">
      <formula>NOT(ISERROR(SEARCH("G2",C39)))</formula>
    </cfRule>
    <cfRule type="containsText" dxfId="44" priority="119" operator="containsText" text="G1">
      <formula>NOT(ISERROR(SEARCH("G1",C39)))</formula>
    </cfRule>
  </conditionalFormatting>
  <conditionalFormatting sqref="N48:N56">
    <cfRule type="containsText" dxfId="43" priority="116" operator="containsText" text="Not Met">
      <formula>NOT(ISERROR(SEARCH("Not Met",N48)))</formula>
    </cfRule>
  </conditionalFormatting>
  <conditionalFormatting sqref="N57:N65">
    <cfRule type="containsText" dxfId="42" priority="114" operator="containsText" text="Not Met">
      <formula>NOT(ISERROR(SEARCH("Not Met",N57)))</formula>
    </cfRule>
  </conditionalFormatting>
  <conditionalFormatting sqref="N66:N74">
    <cfRule type="containsText" dxfId="41" priority="112" operator="containsText" text="Not Met">
      <formula>NOT(ISERROR(SEARCH("Not Met",N66)))</formula>
    </cfRule>
  </conditionalFormatting>
  <conditionalFormatting sqref="N75:N83">
    <cfRule type="containsText" dxfId="40" priority="110" operator="containsText" text="Not Met">
      <formula>NOT(ISERROR(SEARCH("Not Met",N75)))</formula>
    </cfRule>
  </conditionalFormatting>
  <conditionalFormatting sqref="N84:N92">
    <cfRule type="containsText" dxfId="39" priority="108" operator="containsText" text="Not Met">
      <formula>NOT(ISERROR(SEARCH("Not Met",N84)))</formula>
    </cfRule>
  </conditionalFormatting>
  <conditionalFormatting sqref="C48:C56">
    <cfRule type="containsText" dxfId="38" priority="104" operator="containsText" text="G3">
      <formula>NOT(ISERROR(SEARCH("G3",C48)))</formula>
    </cfRule>
    <cfRule type="containsText" dxfId="37" priority="105" operator="containsText" text="G2">
      <formula>NOT(ISERROR(SEARCH("G2",C48)))</formula>
    </cfRule>
    <cfRule type="containsText" dxfId="36" priority="106" operator="containsText" text="G1">
      <formula>NOT(ISERROR(SEARCH("G1",C48)))</formula>
    </cfRule>
  </conditionalFormatting>
  <conditionalFormatting sqref="C57:C65">
    <cfRule type="containsText" dxfId="35" priority="101" operator="containsText" text="G3">
      <formula>NOT(ISERROR(SEARCH("G3",C57)))</formula>
    </cfRule>
    <cfRule type="containsText" dxfId="34" priority="102" operator="containsText" text="G2">
      <formula>NOT(ISERROR(SEARCH("G2",C57)))</formula>
    </cfRule>
    <cfRule type="containsText" dxfId="33" priority="103" operator="containsText" text="G1">
      <formula>NOT(ISERROR(SEARCH("G1",C57)))</formula>
    </cfRule>
  </conditionalFormatting>
  <conditionalFormatting sqref="C66:C74">
    <cfRule type="containsText" dxfId="32" priority="98" operator="containsText" text="G3">
      <formula>NOT(ISERROR(SEARCH("G3",C66)))</formula>
    </cfRule>
    <cfRule type="containsText" dxfId="31" priority="99" operator="containsText" text="G2">
      <formula>NOT(ISERROR(SEARCH("G2",C66)))</formula>
    </cfRule>
    <cfRule type="containsText" dxfId="30" priority="100" operator="containsText" text="G1">
      <formula>NOT(ISERROR(SEARCH("G1",C66)))</formula>
    </cfRule>
  </conditionalFormatting>
  <conditionalFormatting sqref="C75:C83">
    <cfRule type="containsText" dxfId="29" priority="95" operator="containsText" text="G3">
      <formula>NOT(ISERROR(SEARCH("G3",C75)))</formula>
    </cfRule>
    <cfRule type="containsText" dxfId="28" priority="96" operator="containsText" text="G2">
      <formula>NOT(ISERROR(SEARCH("G2",C75)))</formula>
    </cfRule>
    <cfRule type="containsText" dxfId="27" priority="97" operator="containsText" text="G1">
      <formula>NOT(ISERROR(SEARCH("G1",C75)))</formula>
    </cfRule>
  </conditionalFormatting>
  <conditionalFormatting sqref="C84:C92">
    <cfRule type="containsText" dxfId="26" priority="92" operator="containsText" text="G3">
      <formula>NOT(ISERROR(SEARCH("G3",C84)))</formula>
    </cfRule>
    <cfRule type="containsText" dxfId="25" priority="93" operator="containsText" text="G2">
      <formula>NOT(ISERROR(SEARCH("G2",C84)))</formula>
    </cfRule>
    <cfRule type="containsText" dxfId="24" priority="94" operator="containsText" text="G1">
      <formula>NOT(ISERROR(SEARCH("G1",C84)))</formula>
    </cfRule>
  </conditionalFormatting>
  <conditionalFormatting sqref="C7 C17:C21 C11">
    <cfRule type="containsText" dxfId="23" priority="39" operator="containsText" text="G3">
      <formula>NOT(ISERROR(SEARCH("G3",C7)))</formula>
    </cfRule>
    <cfRule type="containsText" dxfId="22" priority="40" operator="containsText" text="G2">
      <formula>NOT(ISERROR(SEARCH("G2",C7)))</formula>
    </cfRule>
    <cfRule type="containsText" dxfId="21" priority="41" operator="containsText" text="G1">
      <formula>NOT(ISERROR(SEARCH("G1",C7)))</formula>
    </cfRule>
  </conditionalFormatting>
  <conditionalFormatting sqref="C8:C10">
    <cfRule type="containsText" dxfId="20" priority="34" operator="containsText" text="G3">
      <formula>NOT(ISERROR(SEARCH("G3",C8)))</formula>
    </cfRule>
    <cfRule type="containsText" dxfId="19" priority="35" operator="containsText" text="G2">
      <formula>NOT(ISERROR(SEARCH("G2",C8)))</formula>
    </cfRule>
    <cfRule type="containsText" dxfId="18" priority="36" operator="containsText" text="G1">
      <formula>NOT(ISERROR(SEARCH("G1",C8)))</formula>
    </cfRule>
  </conditionalFormatting>
  <conditionalFormatting sqref="C2:C6">
    <cfRule type="containsText" dxfId="17" priority="29" operator="containsText" text="G3">
      <formula>NOT(ISERROR(SEARCH("G3",C2)))</formula>
    </cfRule>
    <cfRule type="containsText" dxfId="16" priority="30" operator="containsText" text="G2">
      <formula>NOT(ISERROR(SEARCH("G2",C2)))</formula>
    </cfRule>
    <cfRule type="containsText" dxfId="15" priority="31" operator="containsText" text="G1">
      <formula>NOT(ISERROR(SEARCH("G1",C2)))</formula>
    </cfRule>
  </conditionalFormatting>
  <conditionalFormatting sqref="C12 C16">
    <cfRule type="containsText" dxfId="14" priority="23" operator="containsText" text="G3">
      <formula>NOT(ISERROR(SEARCH("G3",C12)))</formula>
    </cfRule>
    <cfRule type="containsText" dxfId="13" priority="24" operator="containsText" text="G2">
      <formula>NOT(ISERROR(SEARCH("G2",C12)))</formula>
    </cfRule>
    <cfRule type="containsText" dxfId="12" priority="25" operator="containsText" text="G1">
      <formula>NOT(ISERROR(SEARCH("G1",C12)))</formula>
    </cfRule>
  </conditionalFormatting>
  <conditionalFormatting sqref="C13:C15">
    <cfRule type="containsText" dxfId="11" priority="18" operator="containsText" text="G3">
      <formula>NOT(ISERROR(SEARCH("G3",C13)))</formula>
    </cfRule>
    <cfRule type="containsText" dxfId="10" priority="19" operator="containsText" text="G2">
      <formula>NOT(ISERROR(SEARCH("G2",C13)))</formula>
    </cfRule>
    <cfRule type="containsText" dxfId="9" priority="20" operator="containsText" text="G1">
      <formula>NOT(ISERROR(SEARCH("G1",C13)))</formula>
    </cfRule>
  </conditionalFormatting>
  <conditionalFormatting sqref="C27:C31">
    <cfRule type="containsText" dxfId="8" priority="13" operator="containsText" text="G3">
      <formula>NOT(ISERROR(SEARCH("G3",C27)))</formula>
    </cfRule>
    <cfRule type="containsText" dxfId="7" priority="14" operator="containsText" text="G2">
      <formula>NOT(ISERROR(SEARCH("G2",C27)))</formula>
    </cfRule>
    <cfRule type="containsText" dxfId="6" priority="15" operator="containsText" text="G1">
      <formula>NOT(ISERROR(SEARCH("G1",C27)))</formula>
    </cfRule>
  </conditionalFormatting>
  <conditionalFormatting sqref="C22 C26">
    <cfRule type="containsText" dxfId="5" priority="7" operator="containsText" text="G3">
      <formula>NOT(ISERROR(SEARCH("G3",C22)))</formula>
    </cfRule>
    <cfRule type="containsText" dxfId="4" priority="8" operator="containsText" text="G2">
      <formula>NOT(ISERROR(SEARCH("G2",C22)))</formula>
    </cfRule>
    <cfRule type="containsText" dxfId="3" priority="9" operator="containsText" text="G1">
      <formula>NOT(ISERROR(SEARCH("G1",C22)))</formula>
    </cfRule>
  </conditionalFormatting>
  <conditionalFormatting sqref="C23:C25">
    <cfRule type="containsText" dxfId="2" priority="2" operator="containsText" text="G3">
      <formula>NOT(ISERROR(SEARCH("G3",C23)))</formula>
    </cfRule>
    <cfRule type="containsText" dxfId="1" priority="3" operator="containsText" text="G2">
      <formula>NOT(ISERROR(SEARCH("G2",C23)))</formula>
    </cfRule>
    <cfRule type="containsText" dxfId="0" priority="4" operator="containsText" text="G1">
      <formula>NOT(ISERROR(SEARCH("G1",C23)))</formula>
    </cfRule>
  </conditionalFormatting>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iconSet" priority="655" id="{AA1D6987-57CC-483C-AEED-F4EFF80C5F2D}">
            <x14:iconSet iconSet="3Arrows" showValue="0" custom="1">
              <x14:cfvo type="percent">
                <xm:f>0</xm:f>
              </x14:cfvo>
              <x14:cfvo type="num">
                <xm:f>0</xm:f>
              </x14:cfvo>
              <x14:cfvo type="num">
                <xm:f>1</xm:f>
              </x14:cfvo>
              <x14:cfIcon iconSet="3ArrowsGray" iconId="0"/>
              <x14:cfIcon iconSet="NoIcons" iconId="0"/>
              <x14:cfIcon iconSet="3Arrows" iconId="2"/>
            </x14:iconSet>
          </x14:cfRule>
          <xm:sqref>I93:I1048576 I1</xm:sqref>
        </x14:conditionalFormatting>
        <x14:conditionalFormatting xmlns:xm="http://schemas.microsoft.com/office/excel/2006/main">
          <x14:cfRule type="iconSet" priority="126" id="{947B9FA5-21E5-4AAE-94CE-CBFE29BDBBCC}">
            <x14:iconSet iconSet="3Arrows" showValue="0" custom="1">
              <x14:cfvo type="percent">
                <xm:f>0</xm:f>
              </x14:cfvo>
              <x14:cfvo type="num">
                <xm:f>0</xm:f>
              </x14:cfvo>
              <x14:cfvo type="num">
                <xm:f>1</xm:f>
              </x14:cfvo>
              <x14:cfIcon iconSet="3ArrowsGray" iconId="0"/>
              <x14:cfIcon iconSet="NoIcons" iconId="0"/>
              <x14:cfIcon iconSet="3Arrows" iconId="2"/>
            </x14:iconSet>
          </x14:cfRule>
          <xm:sqref>I32:I38</xm:sqref>
        </x14:conditionalFormatting>
        <x14:conditionalFormatting xmlns:xm="http://schemas.microsoft.com/office/excel/2006/main">
          <x14:cfRule type="iconSet" priority="121" id="{9142F287-F681-4F0C-BB3B-4FBD7A5D5EFA}">
            <x14:iconSet iconSet="3Arrows" showValue="0" custom="1">
              <x14:cfvo type="percent">
                <xm:f>0</xm:f>
              </x14:cfvo>
              <x14:cfvo type="num">
                <xm:f>0</xm:f>
              </x14:cfvo>
              <x14:cfvo type="num">
                <xm:f>1</xm:f>
              </x14:cfvo>
              <x14:cfIcon iconSet="3ArrowsGray" iconId="0"/>
              <x14:cfIcon iconSet="NoIcons" iconId="0"/>
              <x14:cfIcon iconSet="3Arrows" iconId="2"/>
            </x14:iconSet>
          </x14:cfRule>
          <xm:sqref>I39:I47</xm:sqref>
        </x14:conditionalFormatting>
        <x14:conditionalFormatting xmlns:xm="http://schemas.microsoft.com/office/excel/2006/main">
          <x14:cfRule type="iconSet" priority="115" id="{3AFD7EC3-5234-4F1A-B2A8-2F532E5AE05F}">
            <x14:iconSet iconSet="3Arrows" showValue="0" custom="1">
              <x14:cfvo type="percent">
                <xm:f>0</xm:f>
              </x14:cfvo>
              <x14:cfvo type="num">
                <xm:f>0</xm:f>
              </x14:cfvo>
              <x14:cfvo type="num">
                <xm:f>1</xm:f>
              </x14:cfvo>
              <x14:cfIcon iconSet="3ArrowsGray" iconId="0"/>
              <x14:cfIcon iconSet="NoIcons" iconId="0"/>
              <x14:cfIcon iconSet="3Arrows" iconId="2"/>
            </x14:iconSet>
          </x14:cfRule>
          <xm:sqref>I48:I56</xm:sqref>
        </x14:conditionalFormatting>
        <x14:conditionalFormatting xmlns:xm="http://schemas.microsoft.com/office/excel/2006/main">
          <x14:cfRule type="iconSet" priority="113" id="{103D8F03-BD49-4923-91A2-A4D7D116CD3A}">
            <x14:iconSet iconSet="3Arrows" showValue="0" custom="1">
              <x14:cfvo type="percent">
                <xm:f>0</xm:f>
              </x14:cfvo>
              <x14:cfvo type="num">
                <xm:f>0</xm:f>
              </x14:cfvo>
              <x14:cfvo type="num">
                <xm:f>1</xm:f>
              </x14:cfvo>
              <x14:cfIcon iconSet="3ArrowsGray" iconId="0"/>
              <x14:cfIcon iconSet="NoIcons" iconId="0"/>
              <x14:cfIcon iconSet="3Arrows" iconId="2"/>
            </x14:iconSet>
          </x14:cfRule>
          <xm:sqref>I57:I65</xm:sqref>
        </x14:conditionalFormatting>
        <x14:conditionalFormatting xmlns:xm="http://schemas.microsoft.com/office/excel/2006/main">
          <x14:cfRule type="iconSet" priority="111" id="{BFC0B8A7-4617-4591-A7FE-CA17607C38BA}">
            <x14:iconSet iconSet="3Arrows" showValue="0" custom="1">
              <x14:cfvo type="percent">
                <xm:f>0</xm:f>
              </x14:cfvo>
              <x14:cfvo type="num">
                <xm:f>0</xm:f>
              </x14:cfvo>
              <x14:cfvo type="num">
                <xm:f>1</xm:f>
              </x14:cfvo>
              <x14:cfIcon iconSet="3ArrowsGray" iconId="0"/>
              <x14:cfIcon iconSet="NoIcons" iconId="0"/>
              <x14:cfIcon iconSet="3Arrows" iconId="2"/>
            </x14:iconSet>
          </x14:cfRule>
          <xm:sqref>I66:I74</xm:sqref>
        </x14:conditionalFormatting>
        <x14:conditionalFormatting xmlns:xm="http://schemas.microsoft.com/office/excel/2006/main">
          <x14:cfRule type="iconSet" priority="109" id="{58D05BA9-F01A-468C-B935-54B8EAF11294}">
            <x14:iconSet iconSet="3Arrows" showValue="0" custom="1">
              <x14:cfvo type="percent">
                <xm:f>0</xm:f>
              </x14:cfvo>
              <x14:cfvo type="num">
                <xm:f>0</xm:f>
              </x14:cfvo>
              <x14:cfvo type="num">
                <xm:f>1</xm:f>
              </x14:cfvo>
              <x14:cfIcon iconSet="3ArrowsGray" iconId="0"/>
              <x14:cfIcon iconSet="NoIcons" iconId="0"/>
              <x14:cfIcon iconSet="3Arrows" iconId="2"/>
            </x14:iconSet>
          </x14:cfRule>
          <xm:sqref>I75:I83</xm:sqref>
        </x14:conditionalFormatting>
        <x14:conditionalFormatting xmlns:xm="http://schemas.microsoft.com/office/excel/2006/main">
          <x14:cfRule type="iconSet" priority="107" id="{74EDFDB9-117A-4304-96FB-B24433040179}">
            <x14:iconSet iconSet="3Arrows" showValue="0" custom="1">
              <x14:cfvo type="percent">
                <xm:f>0</xm:f>
              </x14:cfvo>
              <x14:cfvo type="num">
                <xm:f>0</xm:f>
              </x14:cfvo>
              <x14:cfvo type="num">
                <xm:f>1</xm:f>
              </x14:cfvo>
              <x14:cfIcon iconSet="3ArrowsGray" iconId="0"/>
              <x14:cfIcon iconSet="NoIcons" iconId="0"/>
              <x14:cfIcon iconSet="3Arrows" iconId="2"/>
            </x14:iconSet>
          </x14:cfRule>
          <xm:sqref>I84:I92</xm:sqref>
        </x14:conditionalFormatting>
        <x14:conditionalFormatting xmlns:xm="http://schemas.microsoft.com/office/excel/2006/main">
          <x14:cfRule type="iconSet" priority="694" id="{6C34D2BC-6C8A-4383-A9D4-53B0DCF6C21F}">
            <x14:iconSet iconSet="3Arrows" showValue="0" custom="1">
              <x14:cfvo type="percent">
                <xm:f>0</xm:f>
              </x14:cfvo>
              <x14:cfvo type="num">
                <xm:f>0</xm:f>
              </x14:cfvo>
              <x14:cfvo type="num">
                <xm:f>1</xm:f>
              </x14:cfvo>
              <x14:cfIcon iconSet="3ArrowsGray" iconId="0"/>
              <x14:cfIcon iconSet="NoIcons" iconId="0"/>
              <x14:cfIcon iconSet="3Arrows" iconId="2"/>
            </x14:iconSet>
          </x14:cfRule>
          <xm:sqref>I17:I21</xm:sqref>
        </x14:conditionalFormatting>
        <x14:conditionalFormatting xmlns:xm="http://schemas.microsoft.com/office/excel/2006/main">
          <x14:cfRule type="iconSet" priority="38" id="{061B0FFD-9171-4D61-B1CC-3024E71F45DF}">
            <x14:iconSet iconSet="3Arrows" showValue="0" custom="1">
              <x14:cfvo type="percent">
                <xm:f>0</xm:f>
              </x14:cfvo>
              <x14:cfvo type="num">
                <xm:f>0</xm:f>
              </x14:cfvo>
              <x14:cfvo type="num">
                <xm:f>1</xm:f>
              </x14:cfvo>
              <x14:cfIcon iconSet="3ArrowsGray" iconId="0"/>
              <x14:cfIcon iconSet="NoIcons" iconId="0"/>
              <x14:cfIcon iconSet="3Arrows" iconId="2"/>
            </x14:iconSet>
          </x14:cfRule>
          <xm:sqref>I8:I10</xm:sqref>
        </x14:conditionalFormatting>
        <x14:conditionalFormatting xmlns:xm="http://schemas.microsoft.com/office/excel/2006/main">
          <x14:cfRule type="iconSet" priority="43" id="{D118BDDB-0F5D-42DD-8093-F245F9F9DC5D}">
            <x14:iconSet iconSet="3Arrows" showValue="0" custom="1">
              <x14:cfvo type="percent">
                <xm:f>0</xm:f>
              </x14:cfvo>
              <x14:cfvo type="num">
                <xm:f>0</xm:f>
              </x14:cfvo>
              <x14:cfvo type="num">
                <xm:f>1</xm:f>
              </x14:cfvo>
              <x14:cfIcon iconSet="3ArrowsGray" iconId="0"/>
              <x14:cfIcon iconSet="NoIcons" iconId="0"/>
              <x14:cfIcon iconSet="3Arrows" iconId="2"/>
            </x14:iconSet>
          </x14:cfRule>
          <xm:sqref>I11</xm:sqref>
        </x14:conditionalFormatting>
        <x14:conditionalFormatting xmlns:xm="http://schemas.microsoft.com/office/excel/2006/main">
          <x14:cfRule type="iconSet" priority="44" id="{2C29C145-B7BC-4E8C-A1C7-9C2AB6515CD0}">
            <x14:iconSet iconSet="3Arrows" showValue="0" custom="1">
              <x14:cfvo type="percent">
                <xm:f>0</xm:f>
              </x14:cfvo>
              <x14:cfvo type="num">
                <xm:f>0</xm:f>
              </x14:cfvo>
              <x14:cfvo type="num">
                <xm:f>1</xm:f>
              </x14:cfvo>
              <x14:cfIcon iconSet="3ArrowsGray" iconId="0"/>
              <x14:cfIcon iconSet="NoIcons" iconId="0"/>
              <x14:cfIcon iconSet="3Arrows" iconId="2"/>
            </x14:iconSet>
          </x14:cfRule>
          <xm:sqref>I7</xm:sqref>
        </x14:conditionalFormatting>
        <x14:conditionalFormatting xmlns:xm="http://schemas.microsoft.com/office/excel/2006/main">
          <x14:cfRule type="iconSet" priority="33" id="{C41BD7C2-0F55-40B7-A688-C9E259DD9936}">
            <x14:iconSet iconSet="3Arrows" showValue="0" custom="1">
              <x14:cfvo type="percent">
                <xm:f>0</xm:f>
              </x14:cfvo>
              <x14:cfvo type="num">
                <xm:f>0</xm:f>
              </x14:cfvo>
              <x14:cfvo type="num">
                <xm:f>1</xm:f>
              </x14:cfvo>
              <x14:cfIcon iconSet="3ArrowsGray" iconId="0"/>
              <x14:cfIcon iconSet="NoIcons" iconId="0"/>
              <x14:cfIcon iconSet="3Arrows" iconId="2"/>
            </x14:iconSet>
          </x14:cfRule>
          <xm:sqref>I2:I6</xm:sqref>
        </x14:conditionalFormatting>
        <x14:conditionalFormatting xmlns:xm="http://schemas.microsoft.com/office/excel/2006/main">
          <x14:cfRule type="iconSet" priority="22" id="{3A2C7A02-4642-4426-AAF3-D3136930C3C2}">
            <x14:iconSet iconSet="3Arrows" showValue="0" custom="1">
              <x14:cfvo type="percent">
                <xm:f>0</xm:f>
              </x14:cfvo>
              <x14:cfvo type="num">
                <xm:f>0</xm:f>
              </x14:cfvo>
              <x14:cfvo type="num">
                <xm:f>1</xm:f>
              </x14:cfvo>
              <x14:cfIcon iconSet="3ArrowsGray" iconId="0"/>
              <x14:cfIcon iconSet="NoIcons" iconId="0"/>
              <x14:cfIcon iconSet="3Arrows" iconId="2"/>
            </x14:iconSet>
          </x14:cfRule>
          <xm:sqref>I13:I15</xm:sqref>
        </x14:conditionalFormatting>
        <x14:conditionalFormatting xmlns:xm="http://schemas.microsoft.com/office/excel/2006/main">
          <x14:cfRule type="iconSet" priority="27" id="{F5073471-415C-423F-998B-69DFB13625A2}">
            <x14:iconSet iconSet="3Arrows" showValue="0" custom="1">
              <x14:cfvo type="percent">
                <xm:f>0</xm:f>
              </x14:cfvo>
              <x14:cfvo type="num">
                <xm:f>0</xm:f>
              </x14:cfvo>
              <x14:cfvo type="num">
                <xm:f>1</xm:f>
              </x14:cfvo>
              <x14:cfIcon iconSet="3ArrowsGray" iconId="0"/>
              <x14:cfIcon iconSet="NoIcons" iconId="0"/>
              <x14:cfIcon iconSet="3Arrows" iconId="2"/>
            </x14:iconSet>
          </x14:cfRule>
          <xm:sqref>I16</xm:sqref>
        </x14:conditionalFormatting>
        <x14:conditionalFormatting xmlns:xm="http://schemas.microsoft.com/office/excel/2006/main">
          <x14:cfRule type="iconSet" priority="28" id="{0C5368FD-B5A9-4CB1-A77B-9377FEF72EDB}">
            <x14:iconSet iconSet="3Arrows" showValue="0" custom="1">
              <x14:cfvo type="percent">
                <xm:f>0</xm:f>
              </x14:cfvo>
              <x14:cfvo type="num">
                <xm:f>0</xm:f>
              </x14:cfvo>
              <x14:cfvo type="num">
                <xm:f>1</xm:f>
              </x14:cfvo>
              <x14:cfIcon iconSet="3ArrowsGray" iconId="0"/>
              <x14:cfIcon iconSet="NoIcons" iconId="0"/>
              <x14:cfIcon iconSet="3Arrows" iconId="2"/>
            </x14:iconSet>
          </x14:cfRule>
          <xm:sqref>I12</xm:sqref>
        </x14:conditionalFormatting>
        <x14:conditionalFormatting xmlns:xm="http://schemas.microsoft.com/office/excel/2006/main">
          <x14:cfRule type="iconSet" priority="17" id="{8C4D0CB5-CBF8-4553-93BB-8A9ED0009351}">
            <x14:iconSet iconSet="3Arrows" showValue="0" custom="1">
              <x14:cfvo type="percent">
                <xm:f>0</xm:f>
              </x14:cfvo>
              <x14:cfvo type="num">
                <xm:f>0</xm:f>
              </x14:cfvo>
              <x14:cfvo type="num">
                <xm:f>1</xm:f>
              </x14:cfvo>
              <x14:cfIcon iconSet="3ArrowsGray" iconId="0"/>
              <x14:cfIcon iconSet="NoIcons" iconId="0"/>
              <x14:cfIcon iconSet="3Arrows" iconId="2"/>
            </x14:iconSet>
          </x14:cfRule>
          <xm:sqref>I27:I31</xm:sqref>
        </x14:conditionalFormatting>
        <x14:conditionalFormatting xmlns:xm="http://schemas.microsoft.com/office/excel/2006/main">
          <x14:cfRule type="iconSet" priority="6" id="{734C4931-7F7C-49FE-A386-F0172EE12907}">
            <x14:iconSet iconSet="3Arrows" showValue="0" custom="1">
              <x14:cfvo type="percent">
                <xm:f>0</xm:f>
              </x14:cfvo>
              <x14:cfvo type="num">
                <xm:f>0</xm:f>
              </x14:cfvo>
              <x14:cfvo type="num">
                <xm:f>1</xm:f>
              </x14:cfvo>
              <x14:cfIcon iconSet="3ArrowsGray" iconId="0"/>
              <x14:cfIcon iconSet="NoIcons" iconId="0"/>
              <x14:cfIcon iconSet="3Arrows" iconId="2"/>
            </x14:iconSet>
          </x14:cfRule>
          <xm:sqref>I23:I25</xm:sqref>
        </x14:conditionalFormatting>
        <x14:conditionalFormatting xmlns:xm="http://schemas.microsoft.com/office/excel/2006/main">
          <x14:cfRule type="iconSet" priority="11" id="{6BF1BE03-BE12-4D42-8064-94889680AC1D}">
            <x14:iconSet iconSet="3Arrows" showValue="0" custom="1">
              <x14:cfvo type="percent">
                <xm:f>0</xm:f>
              </x14:cfvo>
              <x14:cfvo type="num">
                <xm:f>0</xm:f>
              </x14:cfvo>
              <x14:cfvo type="num">
                <xm:f>1</xm:f>
              </x14:cfvo>
              <x14:cfIcon iconSet="3ArrowsGray" iconId="0"/>
              <x14:cfIcon iconSet="NoIcons" iconId="0"/>
              <x14:cfIcon iconSet="3Arrows" iconId="2"/>
            </x14:iconSet>
          </x14:cfRule>
          <xm:sqref>I26</xm:sqref>
        </x14:conditionalFormatting>
        <x14:conditionalFormatting xmlns:xm="http://schemas.microsoft.com/office/excel/2006/main">
          <x14:cfRule type="iconSet" priority="12" id="{930D25E4-76DD-4447-8FA8-738B5211FE75}">
            <x14:iconSet iconSet="3Arrows" showValue="0" custom="1">
              <x14:cfvo type="percent">
                <xm:f>0</xm:f>
              </x14:cfvo>
              <x14:cfvo type="num">
                <xm:f>0</xm:f>
              </x14:cfvo>
              <x14:cfvo type="num">
                <xm:f>1</xm:f>
              </x14:cfvo>
              <x14:cfIcon iconSet="3ArrowsGray" iconId="0"/>
              <x14:cfIcon iconSet="NoIcons" iconId="0"/>
              <x14:cfIcon iconSet="3Arrows" iconId="2"/>
            </x14:iconSet>
          </x14:cfRule>
          <xm:sqref>I22</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P68"/>
  <sheetViews>
    <sheetView workbookViewId="0">
      <selection activeCell="M3" sqref="M3"/>
    </sheetView>
  </sheetViews>
  <sheetFormatPr defaultColWidth="9.140625" defaultRowHeight="15" x14ac:dyDescent="0.25"/>
  <cols>
    <col min="3" max="3" width="19.7109375" bestFit="1" customWidth="1"/>
    <col min="4" max="4" width="3.28515625" customWidth="1"/>
  </cols>
  <sheetData>
    <row r="1" spans="1:16" x14ac:dyDescent="0.25">
      <c r="A1" t="s">
        <v>4</v>
      </c>
      <c r="B1" t="s">
        <v>33</v>
      </c>
      <c r="C1" t="s">
        <v>32</v>
      </c>
      <c r="E1" t="s">
        <v>40</v>
      </c>
      <c r="G1" t="s">
        <v>41</v>
      </c>
      <c r="I1" t="s">
        <v>42</v>
      </c>
      <c r="K1" t="s">
        <v>35</v>
      </c>
    </row>
    <row r="2" spans="1:16" x14ac:dyDescent="0.25">
      <c r="A2" t="s">
        <v>49</v>
      </c>
      <c r="B2" t="s">
        <v>47</v>
      </c>
      <c r="C2" t="s">
        <v>48</v>
      </c>
      <c r="E2" t="s">
        <v>56</v>
      </c>
      <c r="G2" t="s">
        <v>64</v>
      </c>
      <c r="I2" t="s">
        <v>71</v>
      </c>
      <c r="K2" t="s">
        <v>91</v>
      </c>
      <c r="M2" t="s">
        <v>79</v>
      </c>
      <c r="N2" t="s">
        <v>80</v>
      </c>
      <c r="P2" t="s">
        <v>80</v>
      </c>
    </row>
    <row r="3" spans="1:16" x14ac:dyDescent="0.25">
      <c r="A3" t="s">
        <v>49</v>
      </c>
      <c r="B3" t="s">
        <v>47</v>
      </c>
      <c r="C3" t="s">
        <v>54</v>
      </c>
      <c r="E3" t="s">
        <v>57</v>
      </c>
      <c r="G3" t="s">
        <v>65</v>
      </c>
      <c r="I3" t="s">
        <v>72</v>
      </c>
      <c r="K3" t="s">
        <v>94</v>
      </c>
      <c r="M3" t="s">
        <v>87</v>
      </c>
      <c r="N3" t="s">
        <v>88</v>
      </c>
      <c r="P3" t="s">
        <v>90</v>
      </c>
    </row>
    <row r="4" spans="1:16" x14ac:dyDescent="0.25">
      <c r="A4" t="s">
        <v>44</v>
      </c>
      <c r="B4" t="s">
        <v>47</v>
      </c>
      <c r="C4" t="s">
        <v>54</v>
      </c>
      <c r="E4" t="s">
        <v>58</v>
      </c>
      <c r="G4" t="s">
        <v>66</v>
      </c>
      <c r="I4" t="s">
        <v>73</v>
      </c>
      <c r="K4" t="s">
        <v>98</v>
      </c>
      <c r="M4" t="s">
        <v>89</v>
      </c>
      <c r="N4" t="s">
        <v>90</v>
      </c>
      <c r="P4" t="s">
        <v>105</v>
      </c>
    </row>
    <row r="5" spans="1:16" x14ac:dyDescent="0.25">
      <c r="A5" t="s">
        <v>44</v>
      </c>
      <c r="B5" t="s">
        <v>47</v>
      </c>
      <c r="C5" t="s">
        <v>46</v>
      </c>
      <c r="E5" t="s">
        <v>59</v>
      </c>
      <c r="G5" t="s">
        <v>67</v>
      </c>
      <c r="I5" t="s">
        <v>74</v>
      </c>
      <c r="K5" t="s">
        <v>109</v>
      </c>
      <c r="M5" t="s">
        <v>102</v>
      </c>
      <c r="N5" t="s">
        <v>102</v>
      </c>
      <c r="P5" t="s">
        <v>108</v>
      </c>
    </row>
    <row r="6" spans="1:16" x14ac:dyDescent="0.25">
      <c r="A6" t="s">
        <v>44</v>
      </c>
      <c r="B6" t="s">
        <v>45</v>
      </c>
      <c r="C6" t="s">
        <v>43</v>
      </c>
      <c r="E6" t="s">
        <v>60</v>
      </c>
      <c r="G6" t="s">
        <v>68</v>
      </c>
      <c r="I6" t="s">
        <v>75</v>
      </c>
      <c r="K6" t="s">
        <v>112</v>
      </c>
      <c r="M6" t="s">
        <v>104</v>
      </c>
      <c r="N6" t="s">
        <v>105</v>
      </c>
      <c r="P6" t="s">
        <v>203</v>
      </c>
    </row>
    <row r="7" spans="1:16" x14ac:dyDescent="0.25">
      <c r="A7" t="s">
        <v>44</v>
      </c>
      <c r="B7" t="s">
        <v>45</v>
      </c>
      <c r="C7" t="s">
        <v>50</v>
      </c>
      <c r="E7" t="s">
        <v>61</v>
      </c>
      <c r="G7" t="s">
        <v>69</v>
      </c>
      <c r="I7" t="s">
        <v>76</v>
      </c>
      <c r="K7" t="s">
        <v>17</v>
      </c>
      <c r="M7" t="s">
        <v>108</v>
      </c>
      <c r="N7" t="s">
        <v>108</v>
      </c>
      <c r="P7" t="s">
        <v>227</v>
      </c>
    </row>
    <row r="8" spans="1:16" x14ac:dyDescent="0.25">
      <c r="A8" t="s">
        <v>44</v>
      </c>
      <c r="B8" t="s">
        <v>45</v>
      </c>
      <c r="C8" t="s">
        <v>55</v>
      </c>
      <c r="E8" t="s">
        <v>62</v>
      </c>
      <c r="G8" t="s">
        <v>70</v>
      </c>
      <c r="I8" t="s">
        <v>77</v>
      </c>
      <c r="K8" t="s">
        <v>209</v>
      </c>
      <c r="M8" t="s">
        <v>196</v>
      </c>
    </row>
    <row r="9" spans="1:16" x14ac:dyDescent="0.25">
      <c r="A9" t="s">
        <v>52</v>
      </c>
      <c r="B9" t="s">
        <v>47</v>
      </c>
      <c r="C9" t="s">
        <v>51</v>
      </c>
      <c r="E9" t="s">
        <v>63</v>
      </c>
      <c r="G9" t="s">
        <v>85</v>
      </c>
      <c r="I9" t="s">
        <v>78</v>
      </c>
      <c r="K9" t="s">
        <v>215</v>
      </c>
      <c r="M9" t="s">
        <v>203</v>
      </c>
      <c r="N9" t="s">
        <v>203</v>
      </c>
    </row>
    <row r="10" spans="1:16" x14ac:dyDescent="0.25">
      <c r="A10" t="s">
        <v>52</v>
      </c>
      <c r="B10" t="s">
        <v>47</v>
      </c>
      <c r="C10" t="s">
        <v>53</v>
      </c>
      <c r="E10" t="s">
        <v>92</v>
      </c>
      <c r="G10" t="s">
        <v>93</v>
      </c>
      <c r="I10" t="s">
        <v>64</v>
      </c>
      <c r="K10" t="s">
        <v>221</v>
      </c>
      <c r="M10" t="s">
        <v>227</v>
      </c>
      <c r="N10" t="s">
        <v>227</v>
      </c>
    </row>
    <row r="11" spans="1:16" x14ac:dyDescent="0.25">
      <c r="A11" t="s">
        <v>49</v>
      </c>
      <c r="B11" t="s">
        <v>47</v>
      </c>
      <c r="C11" t="s">
        <v>106</v>
      </c>
      <c r="E11" t="s">
        <v>95</v>
      </c>
      <c r="G11" t="s">
        <v>96</v>
      </c>
      <c r="I11" t="s">
        <v>97</v>
      </c>
    </row>
    <row r="12" spans="1:16" x14ac:dyDescent="0.25">
      <c r="A12" t="s">
        <v>49</v>
      </c>
      <c r="B12" t="s">
        <v>47</v>
      </c>
      <c r="C12" t="s">
        <v>114</v>
      </c>
      <c r="E12" t="s">
        <v>99</v>
      </c>
      <c r="G12" t="s">
        <v>100</v>
      </c>
      <c r="I12" t="s">
        <v>101</v>
      </c>
    </row>
    <row r="13" spans="1:16" x14ac:dyDescent="0.25">
      <c r="A13" t="s">
        <v>49</v>
      </c>
      <c r="B13" t="s">
        <v>47</v>
      </c>
      <c r="C13" t="s">
        <v>116</v>
      </c>
      <c r="E13" t="s">
        <v>117</v>
      </c>
      <c r="G13" t="s">
        <v>111</v>
      </c>
      <c r="I13" t="s">
        <v>65</v>
      </c>
    </row>
    <row r="14" spans="1:16" x14ac:dyDescent="0.25">
      <c r="A14" t="s">
        <v>49</v>
      </c>
      <c r="B14" t="s">
        <v>47</v>
      </c>
      <c r="C14" t="s">
        <v>120</v>
      </c>
      <c r="E14" t="s">
        <v>121</v>
      </c>
      <c r="G14" t="s">
        <v>113</v>
      </c>
      <c r="I14" t="s">
        <v>113</v>
      </c>
    </row>
    <row r="15" spans="1:16" x14ac:dyDescent="0.25">
      <c r="A15" t="s">
        <v>44</v>
      </c>
      <c r="B15" t="s">
        <v>47</v>
      </c>
      <c r="C15" t="s">
        <v>133</v>
      </c>
      <c r="E15" t="s">
        <v>124</v>
      </c>
      <c r="G15" t="s">
        <v>115</v>
      </c>
      <c r="I15" t="s">
        <v>115</v>
      </c>
    </row>
    <row r="16" spans="1:16" x14ac:dyDescent="0.25">
      <c r="A16" t="s">
        <v>49</v>
      </c>
      <c r="B16" t="s">
        <v>47</v>
      </c>
      <c r="C16" t="s">
        <v>138</v>
      </c>
      <c r="E16" t="s">
        <v>126</v>
      </c>
      <c r="G16" t="s">
        <v>118</v>
      </c>
      <c r="I16" t="s">
        <v>119</v>
      </c>
    </row>
    <row r="17" spans="1:9" x14ac:dyDescent="0.25">
      <c r="A17" t="s">
        <v>49</v>
      </c>
      <c r="B17" t="s">
        <v>47</v>
      </c>
      <c r="C17" t="s">
        <v>141</v>
      </c>
      <c r="E17" t="s">
        <v>129</v>
      </c>
      <c r="G17" t="s">
        <v>122</v>
      </c>
      <c r="I17" t="s">
        <v>123</v>
      </c>
    </row>
    <row r="18" spans="1:9" x14ac:dyDescent="0.25">
      <c r="A18" t="s">
        <v>49</v>
      </c>
      <c r="B18" t="s">
        <v>47</v>
      </c>
      <c r="C18" t="s">
        <v>144</v>
      </c>
      <c r="E18" t="s">
        <v>131</v>
      </c>
      <c r="G18" t="s">
        <v>125</v>
      </c>
      <c r="I18" t="s">
        <v>125</v>
      </c>
    </row>
    <row r="19" spans="1:9" x14ac:dyDescent="0.25">
      <c r="A19" t="s">
        <v>49</v>
      </c>
      <c r="B19" t="s">
        <v>47</v>
      </c>
      <c r="C19" t="s">
        <v>133</v>
      </c>
      <c r="E19" t="s">
        <v>134</v>
      </c>
      <c r="G19" t="s">
        <v>127</v>
      </c>
      <c r="I19" t="s">
        <v>128</v>
      </c>
    </row>
    <row r="20" spans="1:9" x14ac:dyDescent="0.25">
      <c r="A20" t="s">
        <v>49</v>
      </c>
      <c r="B20" t="s">
        <v>47</v>
      </c>
      <c r="C20" t="s">
        <v>150</v>
      </c>
      <c r="E20" t="s">
        <v>136</v>
      </c>
      <c r="G20" t="s">
        <v>130</v>
      </c>
      <c r="I20" t="s">
        <v>130</v>
      </c>
    </row>
    <row r="21" spans="1:9" x14ac:dyDescent="0.25">
      <c r="A21" t="s">
        <v>49</v>
      </c>
      <c r="B21" t="s">
        <v>47</v>
      </c>
      <c r="C21" t="s">
        <v>165</v>
      </c>
      <c r="E21" t="s">
        <v>139</v>
      </c>
      <c r="G21" t="s">
        <v>132</v>
      </c>
      <c r="I21" t="s">
        <v>132</v>
      </c>
    </row>
    <row r="22" spans="1:9" x14ac:dyDescent="0.25">
      <c r="A22" t="s">
        <v>49</v>
      </c>
      <c r="B22" t="s">
        <v>205</v>
      </c>
      <c r="C22" t="s">
        <v>204</v>
      </c>
      <c r="E22" t="s">
        <v>142</v>
      </c>
      <c r="G22" t="s">
        <v>135</v>
      </c>
      <c r="I22" t="s">
        <v>135</v>
      </c>
    </row>
    <row r="23" spans="1:9" x14ac:dyDescent="0.25">
      <c r="A23" t="s">
        <v>49</v>
      </c>
      <c r="B23" t="s">
        <v>208</v>
      </c>
      <c r="C23" t="s">
        <v>207</v>
      </c>
      <c r="E23" t="s">
        <v>145</v>
      </c>
      <c r="G23" t="s">
        <v>137</v>
      </c>
      <c r="I23" t="s">
        <v>137</v>
      </c>
    </row>
    <row r="24" spans="1:9" x14ac:dyDescent="0.25">
      <c r="A24" t="s">
        <v>49</v>
      </c>
      <c r="B24" t="s">
        <v>213</v>
      </c>
      <c r="C24" t="s">
        <v>203</v>
      </c>
      <c r="E24" t="s">
        <v>147</v>
      </c>
      <c r="G24" t="s">
        <v>140</v>
      </c>
      <c r="I24" t="s">
        <v>140</v>
      </c>
    </row>
    <row r="25" spans="1:9" x14ac:dyDescent="0.25">
      <c r="A25" t="s">
        <v>49</v>
      </c>
      <c r="B25" t="s">
        <v>213</v>
      </c>
      <c r="C25" t="s">
        <v>217</v>
      </c>
      <c r="E25" t="s">
        <v>148</v>
      </c>
      <c r="G25" t="s">
        <v>143</v>
      </c>
      <c r="I25" t="s">
        <v>143</v>
      </c>
    </row>
    <row r="26" spans="1:9" x14ac:dyDescent="0.25">
      <c r="A26" t="s">
        <v>49</v>
      </c>
      <c r="B26" t="s">
        <v>213</v>
      </c>
      <c r="C26" t="s">
        <v>219</v>
      </c>
      <c r="E26" t="s">
        <v>151</v>
      </c>
      <c r="G26" t="s">
        <v>146</v>
      </c>
      <c r="I26" t="s">
        <v>146</v>
      </c>
    </row>
    <row r="27" spans="1:9" x14ac:dyDescent="0.25">
      <c r="A27" t="s">
        <v>49</v>
      </c>
      <c r="B27" t="s">
        <v>213</v>
      </c>
      <c r="C27" t="s">
        <v>224</v>
      </c>
      <c r="E27" t="s">
        <v>153</v>
      </c>
      <c r="G27" t="s">
        <v>149</v>
      </c>
      <c r="I27" t="s">
        <v>149</v>
      </c>
    </row>
    <row r="28" spans="1:9" x14ac:dyDescent="0.25">
      <c r="A28" t="s">
        <v>49</v>
      </c>
      <c r="B28" t="s">
        <v>213</v>
      </c>
      <c r="C28" t="s">
        <v>228</v>
      </c>
      <c r="E28" t="s">
        <v>156</v>
      </c>
      <c r="G28" t="s">
        <v>152</v>
      </c>
      <c r="I28" t="s">
        <v>152</v>
      </c>
    </row>
    <row r="29" spans="1:9" x14ac:dyDescent="0.25">
      <c r="A29" t="s">
        <v>49</v>
      </c>
      <c r="B29" t="s">
        <v>213</v>
      </c>
      <c r="C29" t="s">
        <v>231</v>
      </c>
      <c r="E29" t="s">
        <v>158</v>
      </c>
      <c r="G29" t="s">
        <v>154</v>
      </c>
      <c r="I29" t="s">
        <v>154</v>
      </c>
    </row>
    <row r="30" spans="1:9" x14ac:dyDescent="0.25">
      <c r="A30" t="s">
        <v>49</v>
      </c>
      <c r="B30" t="s">
        <v>213</v>
      </c>
      <c r="C30" t="s">
        <v>234</v>
      </c>
      <c r="E30" t="s">
        <v>160</v>
      </c>
      <c r="G30" t="s">
        <v>155</v>
      </c>
      <c r="I30" t="s">
        <v>155</v>
      </c>
    </row>
    <row r="31" spans="1:9" x14ac:dyDescent="0.25">
      <c r="A31" t="s">
        <v>49</v>
      </c>
      <c r="B31" t="s">
        <v>213</v>
      </c>
      <c r="C31" t="s">
        <v>240</v>
      </c>
      <c r="E31" t="s">
        <v>162</v>
      </c>
      <c r="G31" t="s">
        <v>157</v>
      </c>
      <c r="I31" t="s">
        <v>157</v>
      </c>
    </row>
    <row r="32" spans="1:9" x14ac:dyDescent="0.25">
      <c r="A32" t="s">
        <v>49</v>
      </c>
      <c r="B32" t="s">
        <v>213</v>
      </c>
      <c r="C32" t="s">
        <v>246</v>
      </c>
      <c r="E32" t="s">
        <v>164</v>
      </c>
      <c r="G32" t="s">
        <v>159</v>
      </c>
      <c r="I32" t="s">
        <v>159</v>
      </c>
    </row>
    <row r="33" spans="1:9" x14ac:dyDescent="0.25">
      <c r="A33" t="s">
        <v>49</v>
      </c>
      <c r="B33" t="s">
        <v>213</v>
      </c>
      <c r="C33" t="s">
        <v>250</v>
      </c>
      <c r="E33" t="s">
        <v>166</v>
      </c>
      <c r="G33" t="s">
        <v>161</v>
      </c>
      <c r="I33" t="s">
        <v>161</v>
      </c>
    </row>
    <row r="34" spans="1:9" x14ac:dyDescent="0.25">
      <c r="A34" t="s">
        <v>49</v>
      </c>
      <c r="B34" t="s">
        <v>213</v>
      </c>
      <c r="C34" t="s">
        <v>254</v>
      </c>
      <c r="E34" t="s">
        <v>110</v>
      </c>
      <c r="G34" t="s">
        <v>163</v>
      </c>
      <c r="I34" t="s">
        <v>163</v>
      </c>
    </row>
    <row r="35" spans="1:9" x14ac:dyDescent="0.25">
      <c r="A35" t="s">
        <v>49</v>
      </c>
      <c r="B35" t="s">
        <v>213</v>
      </c>
      <c r="C35" t="s">
        <v>258</v>
      </c>
      <c r="E35" t="s">
        <v>169</v>
      </c>
      <c r="G35" t="s">
        <v>167</v>
      </c>
      <c r="I35" t="s">
        <v>167</v>
      </c>
    </row>
    <row r="36" spans="1:9" x14ac:dyDescent="0.25">
      <c r="A36" t="s">
        <v>49</v>
      </c>
      <c r="B36" t="s">
        <v>213</v>
      </c>
      <c r="C36" t="s">
        <v>262</v>
      </c>
      <c r="E36" t="s">
        <v>171</v>
      </c>
      <c r="G36" t="s">
        <v>168</v>
      </c>
      <c r="I36" t="s">
        <v>168</v>
      </c>
    </row>
    <row r="37" spans="1:9" x14ac:dyDescent="0.25">
      <c r="A37" t="s">
        <v>49</v>
      </c>
      <c r="B37" t="s">
        <v>213</v>
      </c>
      <c r="C37" t="s">
        <v>265</v>
      </c>
      <c r="E37" t="s">
        <v>173</v>
      </c>
      <c r="G37" t="s">
        <v>170</v>
      </c>
      <c r="I37" t="s">
        <v>170</v>
      </c>
    </row>
    <row r="38" spans="1:9" x14ac:dyDescent="0.25">
      <c r="E38" t="s">
        <v>175</v>
      </c>
      <c r="G38" t="s">
        <v>172</v>
      </c>
      <c r="I38" t="s">
        <v>172</v>
      </c>
    </row>
    <row r="39" spans="1:9" x14ac:dyDescent="0.25">
      <c r="E39" t="s">
        <v>177</v>
      </c>
      <c r="G39" t="s">
        <v>174</v>
      </c>
      <c r="I39" t="s">
        <v>174</v>
      </c>
    </row>
    <row r="40" spans="1:9" x14ac:dyDescent="0.25">
      <c r="E40" t="s">
        <v>179</v>
      </c>
      <c r="G40" t="s">
        <v>176</v>
      </c>
      <c r="I40" t="s">
        <v>176</v>
      </c>
    </row>
    <row r="41" spans="1:9" x14ac:dyDescent="0.25">
      <c r="E41" t="s">
        <v>181</v>
      </c>
      <c r="G41" t="s">
        <v>178</v>
      </c>
      <c r="I41" t="s">
        <v>178</v>
      </c>
    </row>
    <row r="42" spans="1:9" x14ac:dyDescent="0.25">
      <c r="E42" t="s">
        <v>184</v>
      </c>
      <c r="G42" t="s">
        <v>180</v>
      </c>
      <c r="I42" t="s">
        <v>180</v>
      </c>
    </row>
    <row r="43" spans="1:9" x14ac:dyDescent="0.25">
      <c r="E43" t="s">
        <v>186</v>
      </c>
      <c r="G43" t="s">
        <v>182</v>
      </c>
      <c r="I43" t="s">
        <v>182</v>
      </c>
    </row>
    <row r="44" spans="1:9" x14ac:dyDescent="0.25">
      <c r="E44" t="s">
        <v>188</v>
      </c>
      <c r="G44" t="s">
        <v>183</v>
      </c>
      <c r="I44" t="s">
        <v>183</v>
      </c>
    </row>
    <row r="45" spans="1:9" x14ac:dyDescent="0.25">
      <c r="E45" t="s">
        <v>190</v>
      </c>
      <c r="G45" t="s">
        <v>185</v>
      </c>
      <c r="I45" t="s">
        <v>185</v>
      </c>
    </row>
    <row r="46" spans="1:9" x14ac:dyDescent="0.25">
      <c r="E46" t="s">
        <v>192</v>
      </c>
      <c r="G46" t="s">
        <v>187</v>
      </c>
      <c r="I46" t="s">
        <v>187</v>
      </c>
    </row>
    <row r="47" spans="1:9" x14ac:dyDescent="0.25">
      <c r="E47" t="s">
        <v>194</v>
      </c>
      <c r="G47" t="s">
        <v>189</v>
      </c>
      <c r="I47" t="s">
        <v>189</v>
      </c>
    </row>
    <row r="48" spans="1:9" x14ac:dyDescent="0.25">
      <c r="E48" t="s">
        <v>210</v>
      </c>
      <c r="G48" t="s">
        <v>191</v>
      </c>
      <c r="I48" t="s">
        <v>191</v>
      </c>
    </row>
    <row r="49" spans="5:9" x14ac:dyDescent="0.25">
      <c r="E49" t="s">
        <v>211</v>
      </c>
      <c r="G49" t="s">
        <v>193</v>
      </c>
      <c r="I49" t="s">
        <v>193</v>
      </c>
    </row>
    <row r="50" spans="5:9" x14ac:dyDescent="0.25">
      <c r="E50" t="s">
        <v>222</v>
      </c>
      <c r="G50" t="s">
        <v>195</v>
      </c>
      <c r="I50" t="s">
        <v>195</v>
      </c>
    </row>
    <row r="51" spans="5:9" x14ac:dyDescent="0.25">
      <c r="E51" t="s">
        <v>229</v>
      </c>
      <c r="G51" t="s">
        <v>206</v>
      </c>
    </row>
    <row r="52" spans="5:9" x14ac:dyDescent="0.25">
      <c r="E52" t="s">
        <v>243</v>
      </c>
      <c r="G52" t="s">
        <v>202</v>
      </c>
    </row>
    <row r="53" spans="5:9" x14ac:dyDescent="0.25">
      <c r="E53" t="s">
        <v>247</v>
      </c>
      <c r="G53" t="s">
        <v>212</v>
      </c>
    </row>
    <row r="54" spans="5:9" x14ac:dyDescent="0.25">
      <c r="E54" t="s">
        <v>251</v>
      </c>
      <c r="G54" t="s">
        <v>214</v>
      </c>
    </row>
    <row r="55" spans="5:9" x14ac:dyDescent="0.25">
      <c r="E55" t="s">
        <v>259</v>
      </c>
      <c r="G55" t="s">
        <v>216</v>
      </c>
    </row>
    <row r="56" spans="5:9" x14ac:dyDescent="0.25">
      <c r="E56" t="s">
        <v>266</v>
      </c>
      <c r="G56" t="s">
        <v>218</v>
      </c>
    </row>
    <row r="57" spans="5:9" x14ac:dyDescent="0.25">
      <c r="G57" t="s">
        <v>220</v>
      </c>
    </row>
    <row r="58" spans="5:9" x14ac:dyDescent="0.25">
      <c r="G58" t="s">
        <v>223</v>
      </c>
    </row>
    <row r="59" spans="5:9" x14ac:dyDescent="0.25">
      <c r="G59" t="s">
        <v>224</v>
      </c>
    </row>
    <row r="60" spans="5:9" x14ac:dyDescent="0.25">
      <c r="G60" t="s">
        <v>230</v>
      </c>
    </row>
    <row r="61" spans="5:9" x14ac:dyDescent="0.25">
      <c r="G61" t="s">
        <v>232</v>
      </c>
    </row>
    <row r="62" spans="5:9" x14ac:dyDescent="0.25">
      <c r="G62" t="s">
        <v>238</v>
      </c>
    </row>
    <row r="63" spans="5:9" x14ac:dyDescent="0.25">
      <c r="G63" t="s">
        <v>244</v>
      </c>
    </row>
    <row r="64" spans="5:9" x14ac:dyDescent="0.25">
      <c r="G64" t="s">
        <v>248</v>
      </c>
    </row>
    <row r="65" spans="7:7" x14ac:dyDescent="0.25">
      <c r="G65" t="s">
        <v>252</v>
      </c>
    </row>
    <row r="66" spans="7:7" x14ac:dyDescent="0.25">
      <c r="G66" t="s">
        <v>256</v>
      </c>
    </row>
    <row r="67" spans="7:7" x14ac:dyDescent="0.25">
      <c r="G67" t="s">
        <v>260</v>
      </c>
    </row>
    <row r="68" spans="7:7" x14ac:dyDescent="0.25">
      <c r="G68" t="s">
        <v>267</v>
      </c>
    </row>
  </sheetData>
  <sortState xmlns:xlrd2="http://schemas.microsoft.com/office/spreadsheetml/2017/richdata2" ref="A2:C10">
    <sortCondition descending="1" ref="A2:A10"/>
    <sortCondition ref="B2:B10"/>
    <sortCondition ref="C2:C10"/>
  </sortState>
  <customSheetViews>
    <customSheetView guid="{5D34E837-02BC-48BE-83FB-ACBC50171292}" state="veryHidden" topLeftCell="A7">
      <selection activeCell="A11" sqref="A11:C11"/>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11"/>
  <sheetViews>
    <sheetView workbookViewId="0">
      <selection activeCell="B29" sqref="B29"/>
    </sheetView>
  </sheetViews>
  <sheetFormatPr defaultColWidth="9.140625" defaultRowHeight="15" x14ac:dyDescent="0.25"/>
  <cols>
    <col min="1" max="1" width="23.5703125" bestFit="1" customWidth="1"/>
    <col min="2" max="2" width="64.140625" customWidth="1"/>
  </cols>
  <sheetData>
    <row r="1" spans="1:5" ht="15.75" x14ac:dyDescent="0.25">
      <c r="A1" s="21"/>
    </row>
    <row r="2" spans="1:5" x14ac:dyDescent="0.25">
      <c r="A2" s="22"/>
      <c r="B2" s="22"/>
      <c r="C2" s="22"/>
      <c r="D2" s="23"/>
      <c r="E2" s="24"/>
    </row>
    <row r="3" spans="1:5" x14ac:dyDescent="0.25">
      <c r="A3" s="25"/>
      <c r="B3" s="26"/>
      <c r="C3" s="27"/>
      <c r="D3" s="28"/>
      <c r="E3" s="28"/>
    </row>
    <row r="4" spans="1:5" x14ac:dyDescent="0.25">
      <c r="A4" s="25"/>
      <c r="B4" s="26"/>
      <c r="C4" s="27"/>
      <c r="D4" s="28"/>
      <c r="E4" s="28"/>
    </row>
    <row r="5" spans="1:5" x14ac:dyDescent="0.25">
      <c r="A5" s="25"/>
      <c r="B5" s="26"/>
      <c r="C5" s="29"/>
      <c r="D5" s="28"/>
      <c r="E5" s="28"/>
    </row>
    <row r="6" spans="1:5" x14ac:dyDescent="0.25">
      <c r="A6" s="30"/>
      <c r="B6" s="31"/>
      <c r="C6" s="32"/>
      <c r="D6" s="33"/>
      <c r="E6" s="28"/>
    </row>
    <row r="7" spans="1:5" x14ac:dyDescent="0.25">
      <c r="A7" s="30"/>
      <c r="B7" s="31"/>
      <c r="C7" s="32"/>
      <c r="D7" s="33"/>
      <c r="E7" s="28"/>
    </row>
    <row r="8" spans="1:5" x14ac:dyDescent="0.25">
      <c r="A8" s="30"/>
      <c r="B8" s="31"/>
      <c r="C8" s="32"/>
      <c r="D8" s="28"/>
      <c r="E8" s="28"/>
    </row>
    <row r="9" spans="1:5" x14ac:dyDescent="0.25">
      <c r="A9" s="30"/>
      <c r="B9" s="31"/>
      <c r="C9" s="34"/>
      <c r="D9" s="28"/>
      <c r="E9" s="28"/>
    </row>
    <row r="10" spans="1:5" x14ac:dyDescent="0.25">
      <c r="A10" s="30"/>
      <c r="B10" s="31"/>
      <c r="C10" s="34"/>
      <c r="D10" s="28"/>
      <c r="E10" s="28"/>
    </row>
    <row r="11" spans="1:5" x14ac:dyDescent="0.25">
      <c r="A11" s="30"/>
      <c r="B11" s="31"/>
      <c r="C11" s="34"/>
      <c r="D11" s="33"/>
      <c r="E11" s="28"/>
    </row>
  </sheetData>
  <customSheetViews>
    <customSheetView guid="{5D34E837-02BC-48BE-83FB-ACBC50171292}">
      <selection activeCell="E23" sqref="E23"/>
      <pageMargins left="0.7" right="0.7" top="0.75" bottom="0.75" header="0.3" footer="0.3"/>
    </customSheetView>
  </customSheetView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
  <sheetViews>
    <sheetView workbookViewId="0"/>
  </sheetViews>
  <sheetFormatPr defaultColWidth="9.140625"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TRACKER</vt:lpstr>
      <vt:lpstr>PIVOT</vt:lpstr>
      <vt:lpstr>DATA</vt:lpstr>
      <vt:lpstr>FORMULAS</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Jhon Mario Jaramillo Olano</dc:creator>
  <cp:lastModifiedBy>Diego Mauricio Castillo Martinez</cp:lastModifiedBy>
  <dcterms:created xsi:type="dcterms:W3CDTF">2020-02-24T15:13:21Z</dcterms:created>
  <dcterms:modified xsi:type="dcterms:W3CDTF">2022-01-03T23:43:21Z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Callform_1" visible="true" label="Callform" imageMso="DiagramRadialInsertClassic" onAction="Callform"/>
        <mso:button idQ="doc:Dataexporttracker_1" visible="true" label="Dataexporttracker" imageMso="DatabaseCopyDatabaseFile" onAction="Dataexporttracker"/>
      </mso:documentControls>
    </mso:qat>
  </mso:ribbon>
</mso:customUI>
</file>